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lebo\PycharmProjects\MagicDoors\"/>
    </mc:Choice>
  </mc:AlternateContent>
  <xr:revisionPtr revIDLastSave="0" documentId="13_ncr:1_{14900836-17E3-4FA4-80E1-201DF4B9A82A}" xr6:coauthVersionLast="47" xr6:coauthVersionMax="47" xr10:uidLastSave="{00000000-0000-0000-0000-000000000000}"/>
  <bookViews>
    <workbookView xWindow="-98" yWindow="-98" windowWidth="21795" windowHeight="11625" firstSheet="4" activeTab="11" xr2:uid="{00000000-000D-0000-FFFF-FFFF00000000}"/>
  </bookViews>
  <sheets>
    <sheet name="product_families" sheetId="1" r:id="rId1"/>
    <sheet name="products_types" sheetId="2" r:id="rId2"/>
    <sheet name="series" sheetId="3" r:id="rId3"/>
    <sheet name="front" sheetId="4" r:id="rId4"/>
    <sheet name="models" sheetId="5" r:id="rId5"/>
    <sheet name="additional" sheetId="6" r:id="rId6"/>
    <sheet name="windows" sheetId="11" r:id="rId7"/>
    <sheet name="ידיות" sheetId="7" r:id="rId8"/>
    <sheet name="תוספות פירזול" sheetId="8" r:id="rId9"/>
    <sheet name="material" sheetId="9" r:id="rId10"/>
    <sheet name="versions" sheetId="10" r:id="rId11"/>
    <sheet name="סימולציה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0" l="1" a="1"/>
  <c r="E7" i="10" s="1"/>
  <c r="E3" i="10" a="1"/>
  <c r="E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<sst xmlns="http://schemas.openxmlformats.org/spreadsheetml/2006/main" count="401" uniqueCount="301">
  <si>
    <t>ID</t>
  </si>
  <si>
    <t>verbose_name</t>
  </si>
  <si>
    <t>דלתות כניסה</t>
  </si>
  <si>
    <t>דלתות פתיחה רגילה</t>
  </si>
  <si>
    <t>דלתות פתיחה נסתרות</t>
  </si>
  <si>
    <t>דלתות אקוסטיות</t>
  </si>
  <si>
    <t>דלתות הזזה</t>
  </si>
  <si>
    <t>שונות</t>
  </si>
  <si>
    <t>product_families_id</t>
  </si>
  <si>
    <t>דלת כניסה אלומיניום N8</t>
  </si>
  <si>
    <t>דלת כניסה פיבוט</t>
  </si>
  <si>
    <t>דלת פתיחה רגילה שטופקנט</t>
  </si>
  <si>
    <t>דלת נסתרת בקו ההלבשה</t>
  </si>
  <si>
    <t>דלת נסתרת בקו אפס</t>
  </si>
  <si>
    <t>דלת אקוסטית עם פלץ כפול במשקוף</t>
  </si>
  <si>
    <t>דלת אקוסטית מלונות</t>
  </si>
  <si>
    <t>דלת הזזה רגילה עם משקוף</t>
  </si>
  <si>
    <t>דלת הזזה Evolution</t>
  </si>
  <si>
    <t>דלת הזזה Absolute</t>
  </si>
  <si>
    <t>דלת הזזה Space</t>
  </si>
  <si>
    <t>דלת הזזה אסם</t>
  </si>
  <si>
    <t>משקופי מעבר</t>
  </si>
  <si>
    <t>בויידם</t>
  </si>
  <si>
    <t>אקווה</t>
  </si>
  <si>
    <t>קלאסיק</t>
  </si>
  <si>
    <t>כפרי</t>
  </si>
  <si>
    <t>אילן היוחסין</t>
  </si>
  <si>
    <t>ניו אייג'</t>
  </si>
  <si>
    <t>אלגנט</t>
  </si>
  <si>
    <t>series_id</t>
  </si>
  <si>
    <t>חלק</t>
  </si>
  <si>
    <t>קווטרו</t>
  </si>
  <si>
    <t>טריו ניקל צד מנעול</t>
  </si>
  <si>
    <t>טריו ניקל צד צירים</t>
  </si>
  <si>
    <t>סולם</t>
  </si>
  <si>
    <t>פאנל כפול 6 ממ</t>
  </si>
  <si>
    <t>פאנל אחד 15 ממ</t>
  </si>
  <si>
    <t>פאנל אחד 30 ממ</t>
  </si>
  <si>
    <t>שני פאנל כפול 6 ממ</t>
  </si>
  <si>
    <t>שני פאנל 15 ממ</t>
  </si>
  <si>
    <t>שני פאנל 30 ממ</t>
  </si>
  <si>
    <t>שני קשטות צד צירים</t>
  </si>
  <si>
    <t>18 חריצים על המנעול</t>
  </si>
  <si>
    <t>פאנל אחד סרגלים מובלטים</t>
  </si>
  <si>
    <t>שני פאנל סרגלים מובלטים</t>
  </si>
  <si>
    <t>שלוש פאנל סרגלים מובלטים</t>
  </si>
  <si>
    <t>פאנל אחד סרגלים רחבים מובלטים</t>
  </si>
  <si>
    <t>שני פאנל סרגלים רחבים מובלטים</t>
  </si>
  <si>
    <t>שלוש פאנל סרגלים רחבים מובלטים</t>
  </si>
  <si>
    <t>גלים</t>
  </si>
  <si>
    <t>שני פאנל כפרי</t>
  </si>
  <si>
    <t>שני פאנל כפרי עם חריצים</t>
  </si>
  <si>
    <t>שני פאנל קשת כפרי</t>
  </si>
  <si>
    <t>סבא</t>
  </si>
  <si>
    <t>סבתא</t>
  </si>
  <si>
    <t>פבר</t>
  </si>
  <si>
    <t>קומפלט פתיחה רגילה שטופקנט סדרה אקווה</t>
  </si>
  <si>
    <t>קומפלט פתיחה רגילה שטופקנט סדרה כפרי</t>
  </si>
  <si>
    <t>קומפלט פתיחה רגילה שטופקנט סדרה אילן היוחסין</t>
  </si>
  <si>
    <t>קומפלט פתיחה רגילה שטופקנט סדרה ניו אייג'</t>
  </si>
  <si>
    <t>כנף פתיחה רגילה שטופקנט סדרה אקווה</t>
  </si>
  <si>
    <t>דלת פתיחה רגילה פייפ סדרה אקווה</t>
  </si>
  <si>
    <t>דלת פתיחה רגילה פייפ סדרה קלאסיק</t>
  </si>
  <si>
    <t>דלת פתיחה רגילה פייפ סדרה כפרי</t>
  </si>
  <si>
    <t>דלת פתיחה רגילה פייפ סדרה אילן היוחסין</t>
  </si>
  <si>
    <t>דלת פתיחה רגילה פייפ סדרה ניו אייג'</t>
  </si>
  <si>
    <t>דלת נסתרת בקו ההלבשה סדרה אקווה</t>
  </si>
  <si>
    <t>דלת נסתרת בקו ההלבשה סדרה אילן היוחסין</t>
  </si>
  <si>
    <t>דלת נסתרת בקו ההלבשה סדרה ניו אייג'</t>
  </si>
  <si>
    <t>דלת נסתרת בקו אפס סדרה אקווה</t>
  </si>
  <si>
    <t>דלת נסתרת בקו אפס סדרה אילן היוחסין</t>
  </si>
  <si>
    <t>דלת נסתרת בקו אפס סדרה ניו אייג'</t>
  </si>
  <si>
    <t>דלת נסתרת בקו אפס סדרה אלגנט</t>
  </si>
  <si>
    <t>קומפלט פורמייקה קנט גלוי סדרה לשכה</t>
  </si>
  <si>
    <t>כנף פורמייקה קנט גלוי סדרה לשכה</t>
  </si>
  <si>
    <t>כנף פלץ פורמייקה קנט גלוי סדרה לשכה</t>
  </si>
  <si>
    <t>קומפלט פורמייקה קנט סמוי סדרה לשכה</t>
  </si>
  <si>
    <t>כנף פורמייקה קנט סמוי סדרה לשכה</t>
  </si>
  <si>
    <t>כנף פלץ פורמייקה קנט סמוי סדרה לשכה</t>
  </si>
  <si>
    <t>דלת אקוסטית עם פלץ כפול במשקוף סדרה אקווה</t>
  </si>
  <si>
    <t>דלת אקוסטית עם פלץ כפול במשקוף סדרה אילן היוחסין</t>
  </si>
  <si>
    <t>דלת אקוסטית עם פלץ כפול במשקוף סדרה ניו אייג'</t>
  </si>
  <si>
    <t>דלת אקוסטית מלונות סדרה אקווה</t>
  </si>
  <si>
    <t>דלת אקוסטית מלונות סדרה אילן היוחסין</t>
  </si>
  <si>
    <t>דלת אקוסטית מלונות סדרה ניו אייג'</t>
  </si>
  <si>
    <t>דלת הזזה רגילה עם משקוף סדרה אקווה</t>
  </si>
  <si>
    <t>דלת הזזה רגילה עם משקוף סדרה קלאסיק</t>
  </si>
  <si>
    <t>דלת הזזה רגילה עם משקוף סדרה כפרי</t>
  </si>
  <si>
    <t>דלת הזזה רגילה עם משקוף סדרה אילן היוחסין</t>
  </si>
  <si>
    <t>דלת הזזה רגילה עם משקוף סדרה ניו אייג'</t>
  </si>
  <si>
    <t>דלת הזזה Evolution סדרה אקווה</t>
  </si>
  <si>
    <t>דלת הזזה Evolution סדרה קלאסיק</t>
  </si>
  <si>
    <t>דלת הזזה Evolution סדרה כפרי</t>
  </si>
  <si>
    <t>דלת הזזה Evolution סדרה אילן היוחסין</t>
  </si>
  <si>
    <t>דלת הזזה Evolution סדרה ניו אייג'</t>
  </si>
  <si>
    <t>דלת הזזה Absolute סדרה אקווה</t>
  </si>
  <si>
    <t>דלת הזזה Absolute סדרה קלאסיק</t>
  </si>
  <si>
    <t>דלת הזזה Absolute סדרה כפרי</t>
  </si>
  <si>
    <t>דלת הזזה Absolute סדרה אילן היוחסין</t>
  </si>
  <si>
    <t>דלת הזזה Absolute סדרה ניו אייג'</t>
  </si>
  <si>
    <t>דלת הזזה Space סדרה אקווה</t>
  </si>
  <si>
    <t>דלת הזזה Space סדרה אילן היוחסין</t>
  </si>
  <si>
    <t>דלת הזזה Space סדרה ניו אייג'</t>
  </si>
  <si>
    <t>דלת הזזה אסם סדרה אקווה</t>
  </si>
  <si>
    <t>דלת הזזה אסם סדרה אילן היוחסין</t>
  </si>
  <si>
    <t>דלת הזזה אסם סדרה ניו אייג'</t>
  </si>
  <si>
    <t>משקופי מעבר סדרה קלאסיק</t>
  </si>
  <si>
    <t>בויידם סדרה קלאסיק</t>
  </si>
  <si>
    <t>דלת פתיחה רגילה פלץ</t>
  </si>
  <si>
    <t>מוסדי</t>
  </si>
  <si>
    <t>פורמייקה קנט עץ גלוי</t>
  </si>
  <si>
    <t>פורמייקה קנט עץ סמוי</t>
  </si>
  <si>
    <t>product_types_id</t>
  </si>
  <si>
    <t>דלת כניסה אלומיניום N8 סדרה אלגנט</t>
  </si>
  <si>
    <t>דלת כניסה פיבוט סדרה אלגנט</t>
  </si>
  <si>
    <t>sku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</si>
  <si>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</si>
  <si>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</si>
  <si>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</si>
  <si>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</si>
  <si>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</si>
  <si>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</si>
  <si>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</si>
  <si>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</si>
  <si>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</si>
  <si>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</si>
  <si>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</si>
  <si>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</si>
  <si>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</si>
  <si>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</si>
  <si>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</si>
  <si>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</si>
  <si>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</si>
  <si>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</si>
  <si>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</si>
  <si>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</si>
  <si>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</si>
  <si>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</si>
  <si>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</si>
  <si>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</si>
  <si>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</si>
  <si>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</si>
  <si>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</si>
  <si>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</si>
  <si>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</si>
  <si>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</si>
  <si>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</si>
  <si>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</si>
  <si>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</si>
  <si>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</si>
  <si>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</si>
  <si>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</si>
  <si>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</si>
  <si>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</si>
  <si>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</si>
  <si>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</si>
  <si>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</si>
  <si>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</si>
  <si>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</si>
  <si>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</si>
  <si>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</si>
  <si>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</si>
  <si>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</si>
  <si>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</si>
  <si>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</si>
  <si>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</si>
  <si>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</si>
  <si>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</si>
  <si>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</si>
  <si>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</si>
  <si>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תוספת גובה 225</t>
  </si>
  <si>
    <t>תוספת רוחב 120</t>
  </si>
  <si>
    <t>עופרת 0.5 מ"מ</t>
  </si>
  <si>
    <t>כפולה 2/3+1/3</t>
  </si>
  <si>
    <t>ידית נידל מרובע</t>
  </si>
  <si>
    <t>מחזיר שמן 145</t>
  </si>
  <si>
    <t>ידית נכים 156</t>
  </si>
  <si>
    <t>dim100</t>
  </si>
  <si>
    <t>dim101</t>
  </si>
  <si>
    <t>dim102</t>
  </si>
  <si>
    <t>dim103</t>
  </si>
  <si>
    <t>h4001</t>
  </si>
  <si>
    <t>add100</t>
  </si>
  <si>
    <t>add101</t>
  </si>
  <si>
    <t>MDF 4</t>
  </si>
  <si>
    <t>msh_hdf4x90x215</t>
  </si>
  <si>
    <t>msh_hdf4x122x244</t>
  </si>
  <si>
    <t>MDF 6</t>
  </si>
  <si>
    <t>msh_hdf6x90x215</t>
  </si>
  <si>
    <t>msh_hdf6x122x244</t>
  </si>
  <si>
    <t>msh_hdf6x122x305</t>
  </si>
  <si>
    <t>אקווה1.8</t>
  </si>
  <si>
    <t>msh_aqua1.8x65x205</t>
  </si>
  <si>
    <t>msh_aqua1.8x65x215</t>
  </si>
  <si>
    <t>msh_aqua1.8x65x225</t>
  </si>
  <si>
    <t>msh_aqua1.8x75x205</t>
  </si>
  <si>
    <t>msh_aqua1.8x75x215</t>
  </si>
  <si>
    <t>msh_aqua1.8x75x225</t>
  </si>
  <si>
    <t>msh_aqua1.8x85x205</t>
  </si>
  <si>
    <t>msh_aqua1.8x85x215</t>
  </si>
  <si>
    <t>msh_aqua1.8x85x225</t>
  </si>
  <si>
    <t>msh_aqua1.8x95x205</t>
  </si>
  <si>
    <t>msh_aqua1.8x95x215</t>
  </si>
  <si>
    <t>msh_aqua1.8x95x225</t>
  </si>
  <si>
    <t>msh_aqua1.8x122x244</t>
  </si>
  <si>
    <t>msh_aqua1.8x122x305</t>
  </si>
  <si>
    <t>פלקסבורד28</t>
  </si>
  <si>
    <t>msh_flex28</t>
  </si>
  <si>
    <t>פלקסבורד34</t>
  </si>
  <si>
    <t>msh_flex34</t>
  </si>
  <si>
    <t>פלקסבורד38</t>
  </si>
  <si>
    <t>msh_flex38</t>
  </si>
  <si>
    <t>פלקסבורד44</t>
  </si>
  <si>
    <t>msh_flex44</t>
  </si>
  <si>
    <t>פלקס אקוסטי33</t>
  </si>
  <si>
    <t>msh_facusti33</t>
  </si>
  <si>
    <t>פלקס אקוסטי45</t>
  </si>
  <si>
    <t>msh_facusti45</t>
  </si>
  <si>
    <t>פאנל30</t>
  </si>
  <si>
    <t>msh_pacusti</t>
  </si>
  <si>
    <t>פורמייקה לצבע</t>
  </si>
  <si>
    <t>msh_form1x122x244</t>
  </si>
  <si>
    <t>לוקובונד לבן</t>
  </si>
  <si>
    <t>msh_loc_white</t>
  </si>
  <si>
    <t>לוקובונד שחור</t>
  </si>
  <si>
    <t>msh_loc_black</t>
  </si>
  <si>
    <t>קלקר40</t>
  </si>
  <si>
    <t>msh_polystyrene4</t>
  </si>
  <si>
    <t>קלקר60</t>
  </si>
  <si>
    <t>msh_polystyrene6</t>
  </si>
  <si>
    <t>חלון טוקיו</t>
  </si>
  <si>
    <t>w100</t>
  </si>
  <si>
    <t>מודל</t>
  </si>
  <si>
    <t>מהדורות</t>
  </si>
  <si>
    <t>X</t>
  </si>
  <si>
    <t>A</t>
  </si>
  <si>
    <t>B</t>
  </si>
  <si>
    <t>עץ מוצר</t>
  </si>
  <si>
    <t>----</t>
  </si>
  <si>
    <t>שם</t>
  </si>
  <si>
    <t>כמות</t>
  </si>
  <si>
    <t>mli_pine</t>
  </si>
  <si>
    <t>mli_pvc_1.2w</t>
  </si>
  <si>
    <t>#</t>
  </si>
  <si>
    <t>מק"ט</t>
  </si>
  <si>
    <t>תיאור</t>
  </si>
  <si>
    <t>SKU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</si>
  <si>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</si>
  <si>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</si>
  <si>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</si>
  <si>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</si>
  <si>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</si>
  <si>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</si>
  <si>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</si>
  <si>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</si>
  <si>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</si>
  <si>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</si>
  <si>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</si>
  <si>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</si>
  <si>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</si>
  <si>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</si>
  <si>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</si>
  <si>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</si>
  <si>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</si>
  <si>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</si>
  <si>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</si>
  <si>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</si>
  <si>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</si>
  <si>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</si>
  <si>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</si>
  <si>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</si>
  <si>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</si>
  <si>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</si>
  <si>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</si>
  <si>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</si>
  <si>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</si>
  <si>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צילינדר</t>
  </si>
  <si>
    <t>add102</t>
  </si>
  <si>
    <t>תפוס\פנוי</t>
  </si>
  <si>
    <t>add103</t>
  </si>
  <si>
    <t>צוהר אור</t>
  </si>
  <si>
    <t>w101</t>
  </si>
  <si>
    <t>הזמנה למרפאת שינים. דלתות אקווה רגילות עם חריצים קווטרו. יש דלתות רגילות (3) דלת כפולה עפ חלונות ומחזיר שמן, דלת רנטגן, דלתות לשירותים (2) אחת בינהם שירותי נכים. ס"כ 7 דלתות</t>
  </si>
  <si>
    <t>טופס מידות</t>
  </si>
  <si>
    <t>גובה</t>
  </si>
  <si>
    <t>רוחב</t>
  </si>
  <si>
    <t>עובי קיר</t>
  </si>
  <si>
    <t>כיוון פתיחה</t>
  </si>
  <si>
    <t>פנימה/החוצה</t>
  </si>
  <si>
    <t>מקום</t>
  </si>
  <si>
    <t>חדר 1</t>
  </si>
  <si>
    <t>חדר 2</t>
  </si>
  <si>
    <t>חדר 3</t>
  </si>
  <si>
    <t>כניסה</t>
  </si>
  <si>
    <t>שירותי נכים</t>
  </si>
  <si>
    <t>שירותים 1</t>
  </si>
  <si>
    <t>רנטגן</t>
  </si>
  <si>
    <t>R</t>
  </si>
  <si>
    <t>L</t>
  </si>
  <si>
    <t>פ</t>
  </si>
  <si>
    <t>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</si>
</sst>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rgb="FF434343"/>
      <name val="Roboto"/>
    </font>
    <font>
      <sz val="10"/>
      <color rgb="FF10141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left" vertical="center" wrapText="1" readingOrder="2"/>
    </xf>
    <xf numFmtId="0" fontId="3" fillId="2" borderId="0" xfId="0" applyFont="1" applyFill="1" applyAlignment="1">
      <alignment horizontal="right" vertical="center" wrapText="1" readingOrder="2"/>
    </xf>
    <xf numFmtId="0" fontId="3" fillId="2" borderId="0" xfId="0" applyFont="1" applyFill="1" applyAlignment="1">
      <alignment vertical="center" wrapText="1" readingOrder="2"/>
    </xf>
    <xf numFmtId="0" fontId="3" fillId="3" borderId="0" xfId="0" applyFont="1" applyFill="1" applyAlignment="1">
      <alignment horizontal="left" vertical="center" wrapText="1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3" borderId="0" xfId="0" applyFont="1" applyFill="1" applyAlignment="1">
      <alignment vertical="center" wrapText="1" readingOrder="2"/>
    </xf>
    <xf numFmtId="0" fontId="4" fillId="2" borderId="0" xfId="0" applyFont="1" applyFill="1" applyAlignment="1">
      <alignment vertical="center" wrapText="1" readingOrder="2"/>
    </xf>
    <xf numFmtId="0" fontId="5" fillId="0" borderId="0" xfId="0" applyFont="1"/>
    <xf numFmtId="0" fontId="0" fillId="0" borderId="0" xfId="0" applyAlignment="1">
      <alignment horizontal="center"/>
    </xf>
    <xf numFmtId="0" fontId="5" fillId="0" borderId="0" xfId="0" quotePrefix="1" applyFont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5" borderId="0" xfId="0" applyFill="1"/>
    <xf numFmtId="0" fontId="3" fillId="0" borderId="3" xfId="0" applyFont="1" applyBorder="1" applyAlignment="1">
      <alignment vertical="center" wrapText="1" readingOrder="2"/>
    </xf>
    <xf numFmtId="0" fontId="0" fillId="0" borderId="4" xfId="0" applyBorder="1"/>
    <xf numFmtId="0" fontId="3" fillId="0" borderId="0" xfId="0" applyFont="1" applyAlignment="1">
      <alignment vertical="center" wrapText="1" readingOrder="2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7" fillId="0" borderId="0" xfId="0" applyFont="1" applyAlignment="1">
      <alignment horizontal="right" vertical="top" wrapText="1" readingOrder="2"/>
    </xf>
    <xf numFmtId="0" fontId="8" fillId="0" borderId="2" xfId="0" applyFont="1" applyFill="1" applyBorder="1" applyAlignment="1">
      <alignment horizontal="center" vertical="top"/>
    </xf>
    <xf numFmtId="0" fontId="0" fillId="7" borderId="0" xfId="0" applyFont="1" applyFill="1"/>
    <xf numFmtId="0" fontId="0" fillId="0" borderId="0" xfId="0" applyFont="1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Border="1"/>
    <xf numFmtId="0" fontId="0" fillId="0" borderId="15" xfId="0" applyFont="1" applyBorder="1"/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10" sqref="A10"/>
    </sheetView>
  </sheetViews>
  <sheetFormatPr defaultRowHeight="14.25" x14ac:dyDescent="0.45"/>
  <cols>
    <col min="2" max="2" width="16.7304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  <row r="4" spans="1:2" x14ac:dyDescent="0.45">
      <c r="A4">
        <v>3</v>
      </c>
      <c r="B4" t="s">
        <v>4</v>
      </c>
    </row>
    <row r="5" spans="1:2" x14ac:dyDescent="0.45">
      <c r="A5">
        <v>4</v>
      </c>
      <c r="B5" t="s">
        <v>5</v>
      </c>
    </row>
    <row r="6" spans="1:2" x14ac:dyDescent="0.45">
      <c r="A6">
        <v>5</v>
      </c>
      <c r="B6" t="s">
        <v>6</v>
      </c>
    </row>
    <row r="7" spans="1:2" x14ac:dyDescent="0.45">
      <c r="A7">
        <v>6</v>
      </c>
      <c r="B7" t="s">
        <v>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9" sqref="C9"/>
    </sheetView>
  </sheetViews>
  <sheetFormatPr defaultRowHeight="14.25" x14ac:dyDescent="0.45"/>
  <cols>
    <col min="2" max="2" width="26.796875" bestFit="1" customWidth="1"/>
    <col min="3" max="3" width="17" bestFit="1" customWidth="1"/>
  </cols>
  <sheetData>
    <row r="1" spans="1:3" x14ac:dyDescent="0.45">
      <c r="A1" s="1" t="s">
        <v>0</v>
      </c>
      <c r="B1" s="1" t="s">
        <v>1</v>
      </c>
      <c r="C1" s="1" t="s">
        <v>8</v>
      </c>
    </row>
    <row r="2" spans="1:3" x14ac:dyDescent="0.45">
      <c r="A2">
        <v>1</v>
      </c>
      <c r="B2" t="s">
        <v>9</v>
      </c>
      <c r="C2">
        <v>1</v>
      </c>
    </row>
    <row r="3" spans="1:3" x14ac:dyDescent="0.45">
      <c r="A3">
        <v>2</v>
      </c>
      <c r="B3" t="s">
        <v>10</v>
      </c>
      <c r="C3">
        <v>1</v>
      </c>
    </row>
    <row r="4" spans="1:3" x14ac:dyDescent="0.45">
      <c r="A4">
        <v>3</v>
      </c>
      <c r="B4" t="s">
        <v>11</v>
      </c>
      <c r="C4">
        <v>2</v>
      </c>
    </row>
    <row r="5" spans="1:3" x14ac:dyDescent="0.45">
      <c r="A5">
        <v>4</v>
      </c>
      <c r="B5" t="s">
        <v>108</v>
      </c>
      <c r="C5">
        <v>2</v>
      </c>
    </row>
    <row r="6" spans="1:3" x14ac:dyDescent="0.45">
      <c r="A6">
        <v>5</v>
      </c>
      <c r="B6" t="s">
        <v>12</v>
      </c>
      <c r="C6">
        <v>3</v>
      </c>
    </row>
    <row r="7" spans="1:3" x14ac:dyDescent="0.45">
      <c r="A7">
        <v>6</v>
      </c>
      <c r="B7" t="s">
        <v>13</v>
      </c>
      <c r="C7">
        <v>3</v>
      </c>
    </row>
    <row r="8" spans="1:3" x14ac:dyDescent="0.45">
      <c r="A8">
        <v>9</v>
      </c>
      <c r="B8" t="s">
        <v>14</v>
      </c>
      <c r="C8">
        <v>4</v>
      </c>
    </row>
    <row r="9" spans="1:3" x14ac:dyDescent="0.45">
      <c r="A9">
        <v>10</v>
      </c>
      <c r="B9" t="s">
        <v>15</v>
      </c>
      <c r="C9">
        <v>4</v>
      </c>
    </row>
    <row r="10" spans="1:3" x14ac:dyDescent="0.45">
      <c r="A10">
        <v>11</v>
      </c>
      <c r="B10" t="s">
        <v>16</v>
      </c>
      <c r="C10">
        <v>5</v>
      </c>
    </row>
    <row r="11" spans="1:3" x14ac:dyDescent="0.45">
      <c r="A11">
        <v>12</v>
      </c>
      <c r="B11" t="s">
        <v>17</v>
      </c>
      <c r="C11">
        <v>5</v>
      </c>
    </row>
    <row r="12" spans="1:3" x14ac:dyDescent="0.45">
      <c r="A12">
        <v>13</v>
      </c>
      <c r="B12" t="s">
        <v>18</v>
      </c>
      <c r="C12">
        <v>5</v>
      </c>
    </row>
    <row r="13" spans="1:3" x14ac:dyDescent="0.45">
      <c r="A13">
        <v>14</v>
      </c>
      <c r="B13" t="s">
        <v>19</v>
      </c>
      <c r="C13">
        <v>5</v>
      </c>
    </row>
    <row r="14" spans="1:3" x14ac:dyDescent="0.45">
      <c r="A14">
        <v>15</v>
      </c>
      <c r="B14" t="s">
        <v>20</v>
      </c>
      <c r="C14">
        <v>5</v>
      </c>
    </row>
    <row r="15" spans="1:3" x14ac:dyDescent="0.45">
      <c r="A15">
        <v>16</v>
      </c>
      <c r="B15" t="s">
        <v>21</v>
      </c>
      <c r="C15">
        <v>6</v>
      </c>
    </row>
    <row r="16" spans="1:3" x14ac:dyDescent="0.45">
      <c r="A16">
        <v>17</v>
      </c>
      <c r="B16" t="s">
        <v>22</v>
      </c>
      <c r="C16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8" sqref="B8"/>
    </sheetView>
  </sheetViews>
  <sheetFormatPr defaultRowHeight="14.25" x14ac:dyDescent="0.45"/>
  <cols>
    <col min="2" max="2" width="12.86328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 t="s">
        <v>23</v>
      </c>
    </row>
    <row r="3" spans="1:2" x14ac:dyDescent="0.45">
      <c r="A3">
        <v>2</v>
      </c>
      <c r="B3" t="s">
        <v>24</v>
      </c>
    </row>
    <row r="4" spans="1:2" x14ac:dyDescent="0.45">
      <c r="A4">
        <v>3</v>
      </c>
      <c r="B4" t="s">
        <v>25</v>
      </c>
    </row>
    <row r="5" spans="1:2" x14ac:dyDescent="0.45">
      <c r="A5">
        <v>4</v>
      </c>
      <c r="B5" t="s">
        <v>26</v>
      </c>
    </row>
    <row r="6" spans="1:2" x14ac:dyDescent="0.45">
      <c r="A6">
        <v>5</v>
      </c>
      <c r="B6" t="s">
        <v>27</v>
      </c>
    </row>
    <row r="7" spans="1:2" x14ac:dyDescent="0.45">
      <c r="A7">
        <v>6</v>
      </c>
      <c r="B7" t="s">
        <v>109</v>
      </c>
    </row>
    <row r="8" spans="1:2" x14ac:dyDescent="0.45">
      <c r="A8">
        <v>7</v>
      </c>
      <c r="B8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B3" sqref="B3"/>
    </sheetView>
  </sheetViews>
  <sheetFormatPr defaultRowHeight="14.25" x14ac:dyDescent="0.45"/>
  <cols>
    <col min="2" max="2" width="26.1328125" bestFit="1" customWidth="1"/>
    <col min="3" max="3" width="7.9296875" bestFit="1" customWidth="1"/>
  </cols>
  <sheetData>
    <row r="1" spans="1:4" x14ac:dyDescent="0.45">
      <c r="A1" s="1" t="s">
        <v>0</v>
      </c>
      <c r="B1" s="1" t="s">
        <v>1</v>
      </c>
      <c r="C1" s="1" t="s">
        <v>29</v>
      </c>
      <c r="D1" s="37" t="s">
        <v>246</v>
      </c>
    </row>
    <row r="2" spans="1:4" x14ac:dyDescent="0.45">
      <c r="A2">
        <v>1</v>
      </c>
      <c r="B2" t="s">
        <v>30</v>
      </c>
      <c r="C2">
        <v>1</v>
      </c>
      <c r="D2" t="s">
        <v>247</v>
      </c>
    </row>
    <row r="3" spans="1:4" x14ac:dyDescent="0.45">
      <c r="A3">
        <v>2</v>
      </c>
      <c r="B3" t="s">
        <v>31</v>
      </c>
      <c r="C3">
        <v>1</v>
      </c>
      <c r="D3" t="s">
        <v>248</v>
      </c>
    </row>
    <row r="4" spans="1:4" x14ac:dyDescent="0.45">
      <c r="A4">
        <v>3</v>
      </c>
      <c r="B4" t="s">
        <v>32</v>
      </c>
      <c r="C4">
        <v>1</v>
      </c>
      <c r="D4" t="s">
        <v>249</v>
      </c>
    </row>
    <row r="5" spans="1:4" x14ac:dyDescent="0.45">
      <c r="A5">
        <v>4</v>
      </c>
      <c r="B5" t="s">
        <v>33</v>
      </c>
      <c r="C5">
        <v>1</v>
      </c>
      <c r="D5" t="s">
        <v>250</v>
      </c>
    </row>
    <row r="6" spans="1:4" x14ac:dyDescent="0.45">
      <c r="A6">
        <v>5</v>
      </c>
      <c r="B6" t="s">
        <v>34</v>
      </c>
      <c r="C6">
        <v>1</v>
      </c>
      <c r="D6" t="s">
        <v>251</v>
      </c>
    </row>
    <row r="7" spans="1:4" x14ac:dyDescent="0.45">
      <c r="A7">
        <v>6</v>
      </c>
      <c r="B7" t="s">
        <v>35</v>
      </c>
      <c r="C7">
        <v>1</v>
      </c>
      <c r="D7" t="s">
        <v>252</v>
      </c>
    </row>
    <row r="8" spans="1:4" x14ac:dyDescent="0.45">
      <c r="A8">
        <v>7</v>
      </c>
      <c r="B8" t="s">
        <v>36</v>
      </c>
      <c r="C8">
        <v>1</v>
      </c>
      <c r="D8" t="s">
        <v>253</v>
      </c>
    </row>
    <row r="9" spans="1:4" x14ac:dyDescent="0.45">
      <c r="A9">
        <v>8</v>
      </c>
      <c r="B9" t="s">
        <v>37</v>
      </c>
      <c r="C9">
        <v>1</v>
      </c>
      <c r="D9" t="s">
        <v>254</v>
      </c>
    </row>
    <row r="10" spans="1:4" x14ac:dyDescent="0.45">
      <c r="A10">
        <v>9</v>
      </c>
      <c r="B10" t="s">
        <v>38</v>
      </c>
      <c r="C10">
        <v>1</v>
      </c>
      <c r="D10" t="s">
        <v>255</v>
      </c>
    </row>
    <row r="11" spans="1:4" x14ac:dyDescent="0.45">
      <c r="A11">
        <v>10</v>
      </c>
      <c r="B11" t="s">
        <v>39</v>
      </c>
      <c r="C11">
        <v>1</v>
      </c>
      <c r="D11" t="s">
        <v>256</v>
      </c>
    </row>
    <row r="12" spans="1:4" x14ac:dyDescent="0.45">
      <c r="A12">
        <v>11</v>
      </c>
      <c r="B12" t="s">
        <v>40</v>
      </c>
      <c r="C12">
        <v>1</v>
      </c>
      <c r="D12" t="s">
        <v>257</v>
      </c>
    </row>
    <row r="13" spans="1:4" x14ac:dyDescent="0.45">
      <c r="A13">
        <v>12</v>
      </c>
      <c r="B13" t="s">
        <v>40</v>
      </c>
      <c r="C13">
        <v>1</v>
      </c>
      <c r="D13" t="s">
        <v>258</v>
      </c>
    </row>
    <row r="14" spans="1:4" x14ac:dyDescent="0.45">
      <c r="A14">
        <v>13</v>
      </c>
      <c r="B14" t="s">
        <v>41</v>
      </c>
      <c r="C14">
        <v>1</v>
      </c>
      <c r="D14" t="s">
        <v>259</v>
      </c>
    </row>
    <row r="15" spans="1:4" x14ac:dyDescent="0.45">
      <c r="A15">
        <v>14</v>
      </c>
      <c r="B15" t="s">
        <v>42</v>
      </c>
      <c r="C15">
        <v>1</v>
      </c>
      <c r="D15" t="s">
        <v>260</v>
      </c>
    </row>
    <row r="16" spans="1:4" x14ac:dyDescent="0.45">
      <c r="A16">
        <v>15</v>
      </c>
      <c r="B16" t="s">
        <v>43</v>
      </c>
      <c r="C16">
        <v>1</v>
      </c>
      <c r="D16" t="s">
        <v>261</v>
      </c>
    </row>
    <row r="17" spans="1:4" x14ac:dyDescent="0.45">
      <c r="A17">
        <v>16</v>
      </c>
      <c r="B17" t="s">
        <v>44</v>
      </c>
      <c r="C17">
        <v>1</v>
      </c>
      <c r="D17" t="s">
        <v>262</v>
      </c>
    </row>
    <row r="18" spans="1:4" x14ac:dyDescent="0.45">
      <c r="A18">
        <v>17</v>
      </c>
      <c r="B18" t="s">
        <v>45</v>
      </c>
      <c r="C18">
        <v>1</v>
      </c>
      <c r="D18" t="s">
        <v>263</v>
      </c>
    </row>
    <row r="19" spans="1:4" x14ac:dyDescent="0.45">
      <c r="A19">
        <v>18</v>
      </c>
      <c r="B19" t="s">
        <v>46</v>
      </c>
      <c r="C19">
        <v>1</v>
      </c>
      <c r="D19" t="s">
        <v>264</v>
      </c>
    </row>
    <row r="20" spans="1:4" x14ac:dyDescent="0.45">
      <c r="A20">
        <v>19</v>
      </c>
      <c r="B20" t="s">
        <v>47</v>
      </c>
      <c r="C20">
        <v>1</v>
      </c>
      <c r="D20" t="s">
        <v>265</v>
      </c>
    </row>
    <row r="21" spans="1:4" x14ac:dyDescent="0.45">
      <c r="A21">
        <v>20</v>
      </c>
      <c r="B21" t="s">
        <v>48</v>
      </c>
      <c r="C21">
        <v>1</v>
      </c>
      <c r="D21" t="s">
        <v>266</v>
      </c>
    </row>
    <row r="22" spans="1:4" x14ac:dyDescent="0.45">
      <c r="A22">
        <v>21</v>
      </c>
      <c r="B22" t="s">
        <v>49</v>
      </c>
      <c r="C22">
        <v>2</v>
      </c>
      <c r="D22" t="s">
        <v>267</v>
      </c>
    </row>
    <row r="23" spans="1:4" x14ac:dyDescent="0.45">
      <c r="A23">
        <v>22</v>
      </c>
      <c r="B23" t="s">
        <v>50</v>
      </c>
      <c r="C23">
        <v>3</v>
      </c>
      <c r="D23" t="s">
        <v>268</v>
      </c>
    </row>
    <row r="24" spans="1:4" x14ac:dyDescent="0.45">
      <c r="A24">
        <v>23</v>
      </c>
      <c r="B24" t="s">
        <v>51</v>
      </c>
      <c r="C24">
        <v>3</v>
      </c>
      <c r="D24" t="s">
        <v>269</v>
      </c>
    </row>
    <row r="25" spans="1:4" x14ac:dyDescent="0.45">
      <c r="A25">
        <v>24</v>
      </c>
      <c r="B25" t="s">
        <v>52</v>
      </c>
      <c r="C25">
        <v>3</v>
      </c>
      <c r="D25" t="s">
        <v>270</v>
      </c>
    </row>
    <row r="26" spans="1:4" x14ac:dyDescent="0.45">
      <c r="A26">
        <v>25</v>
      </c>
      <c r="B26" t="s">
        <v>53</v>
      </c>
      <c r="C26">
        <v>4</v>
      </c>
      <c r="D26" t="s">
        <v>271</v>
      </c>
    </row>
    <row r="27" spans="1:4" x14ac:dyDescent="0.45">
      <c r="A27">
        <v>26</v>
      </c>
      <c r="B27" t="s">
        <v>54</v>
      </c>
      <c r="C27">
        <v>4</v>
      </c>
      <c r="D27" t="s">
        <v>272</v>
      </c>
    </row>
    <row r="28" spans="1:4" x14ac:dyDescent="0.45">
      <c r="A28">
        <v>27</v>
      </c>
      <c r="B28" t="s">
        <v>55</v>
      </c>
      <c r="C28">
        <v>5</v>
      </c>
      <c r="D28" t="s">
        <v>273</v>
      </c>
    </row>
    <row r="29" spans="1:4" x14ac:dyDescent="0.45">
      <c r="A29">
        <v>28</v>
      </c>
      <c r="B29" t="s">
        <v>110</v>
      </c>
      <c r="C29">
        <v>6</v>
      </c>
      <c r="D29" t="s">
        <v>274</v>
      </c>
    </row>
    <row r="30" spans="1:4" x14ac:dyDescent="0.45">
      <c r="A30">
        <v>29</v>
      </c>
      <c r="B30" t="s">
        <v>111</v>
      </c>
      <c r="C30">
        <v>6</v>
      </c>
      <c r="D30" t="s">
        <v>275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5"/>
  <sheetViews>
    <sheetView workbookViewId="0">
      <selection activeCell="E4" sqref="B4:E4"/>
    </sheetView>
  </sheetViews>
  <sheetFormatPr defaultRowHeight="14.25" x14ac:dyDescent="0.45"/>
  <cols>
    <col min="2" max="2" width="40.265625" bestFit="1" customWidth="1"/>
    <col min="3" max="3" width="17" bestFit="1" customWidth="1"/>
    <col min="4" max="5" width="9.265625" customWidth="1"/>
  </cols>
  <sheetData>
    <row r="1" spans="1:5" x14ac:dyDescent="0.45">
      <c r="A1" s="1" t="s">
        <v>0</v>
      </c>
      <c r="B1" s="1" t="s">
        <v>1</v>
      </c>
      <c r="C1" s="1" t="s">
        <v>112</v>
      </c>
      <c r="D1" s="1" t="s">
        <v>29</v>
      </c>
      <c r="E1" s="2" t="s">
        <v>115</v>
      </c>
    </row>
    <row r="2" spans="1:5" x14ac:dyDescent="0.45">
      <c r="A2">
        <v>1</v>
      </c>
      <c r="B2" t="s">
        <v>113</v>
      </c>
      <c r="C2">
        <v>1</v>
      </c>
      <c r="D2">
        <v>7</v>
      </c>
      <c r="E2" t="s">
        <v>116</v>
      </c>
    </row>
    <row r="3" spans="1:5" x14ac:dyDescent="0.45">
      <c r="A3">
        <v>2</v>
      </c>
      <c r="B3" t="s">
        <v>114</v>
      </c>
      <c r="C3">
        <v>2</v>
      </c>
      <c r="D3">
        <v>7</v>
      </c>
      <c r="E3" t="s">
        <v>117</v>
      </c>
    </row>
    <row r="4" spans="1:5" x14ac:dyDescent="0.45">
      <c r="A4">
        <v>3</v>
      </c>
      <c r="B4" t="s">
        <v>56</v>
      </c>
      <c r="C4">
        <v>3</v>
      </c>
      <c r="D4">
        <v>1</v>
      </c>
      <c r="E4" t="s">
        <v>118</v>
      </c>
    </row>
    <row r="5" spans="1:5" x14ac:dyDescent="0.45">
      <c r="A5">
        <v>5</v>
      </c>
      <c r="B5" t="s">
        <v>57</v>
      </c>
      <c r="C5">
        <v>3</v>
      </c>
      <c r="D5">
        <v>3</v>
      </c>
      <c r="E5" t="s">
        <v>119</v>
      </c>
    </row>
    <row r="6" spans="1:5" x14ac:dyDescent="0.45">
      <c r="A6">
        <v>6</v>
      </c>
      <c r="B6" t="s">
        <v>58</v>
      </c>
      <c r="C6">
        <v>3</v>
      </c>
      <c r="D6">
        <v>4</v>
      </c>
      <c r="E6" t="s">
        <v>120</v>
      </c>
    </row>
    <row r="7" spans="1:5" x14ac:dyDescent="0.45">
      <c r="A7">
        <v>7</v>
      </c>
      <c r="B7" t="s">
        <v>59</v>
      </c>
      <c r="C7">
        <v>3</v>
      </c>
      <c r="D7">
        <v>5</v>
      </c>
      <c r="E7" t="s">
        <v>121</v>
      </c>
    </row>
    <row r="8" spans="1:5" x14ac:dyDescent="0.45">
      <c r="A8">
        <v>8</v>
      </c>
      <c r="B8" t="s">
        <v>60</v>
      </c>
      <c r="C8">
        <v>3</v>
      </c>
      <c r="D8">
        <v>1</v>
      </c>
      <c r="E8" t="s">
        <v>122</v>
      </c>
    </row>
    <row r="9" spans="1:5" x14ac:dyDescent="0.45">
      <c r="A9">
        <v>9</v>
      </c>
      <c r="B9" t="s">
        <v>61</v>
      </c>
      <c r="C9">
        <v>4</v>
      </c>
      <c r="D9">
        <v>1</v>
      </c>
      <c r="E9" t="s">
        <v>123</v>
      </c>
    </row>
    <row r="10" spans="1:5" x14ac:dyDescent="0.45">
      <c r="A10">
        <v>10</v>
      </c>
      <c r="B10" t="s">
        <v>62</v>
      </c>
      <c r="C10">
        <v>4</v>
      </c>
      <c r="D10">
        <v>2</v>
      </c>
      <c r="E10" t="s">
        <v>124</v>
      </c>
    </row>
    <row r="11" spans="1:5" x14ac:dyDescent="0.45">
      <c r="A11">
        <v>11</v>
      </c>
      <c r="B11" t="s">
        <v>63</v>
      </c>
      <c r="C11">
        <v>4</v>
      </c>
      <c r="D11">
        <v>3</v>
      </c>
      <c r="E11" t="s">
        <v>125</v>
      </c>
    </row>
    <row r="12" spans="1:5" x14ac:dyDescent="0.45">
      <c r="A12">
        <v>12</v>
      </c>
      <c r="B12" t="s">
        <v>64</v>
      </c>
      <c r="C12">
        <v>4</v>
      </c>
      <c r="D12">
        <v>4</v>
      </c>
      <c r="E12" t="s">
        <v>126</v>
      </c>
    </row>
    <row r="13" spans="1:5" x14ac:dyDescent="0.45">
      <c r="A13">
        <v>13</v>
      </c>
      <c r="B13" t="s">
        <v>65</v>
      </c>
      <c r="C13">
        <v>4</v>
      </c>
      <c r="D13">
        <v>5</v>
      </c>
      <c r="E13" t="s">
        <v>127</v>
      </c>
    </row>
    <row r="14" spans="1:5" x14ac:dyDescent="0.45">
      <c r="A14">
        <v>14</v>
      </c>
      <c r="B14" t="s">
        <v>66</v>
      </c>
      <c r="C14">
        <v>5</v>
      </c>
      <c r="D14">
        <v>1</v>
      </c>
      <c r="E14" t="s">
        <v>128</v>
      </c>
    </row>
    <row r="15" spans="1:5" x14ac:dyDescent="0.45">
      <c r="A15">
        <v>15</v>
      </c>
      <c r="B15" t="s">
        <v>67</v>
      </c>
      <c r="C15">
        <v>5</v>
      </c>
      <c r="D15">
        <v>4</v>
      </c>
      <c r="E15" t="s">
        <v>129</v>
      </c>
    </row>
    <row r="16" spans="1:5" x14ac:dyDescent="0.45">
      <c r="A16">
        <v>16</v>
      </c>
      <c r="B16" t="s">
        <v>68</v>
      </c>
      <c r="C16">
        <v>5</v>
      </c>
      <c r="D16">
        <v>5</v>
      </c>
      <c r="E16" t="s">
        <v>130</v>
      </c>
    </row>
    <row r="17" spans="1:5" x14ac:dyDescent="0.45">
      <c r="A17">
        <v>17</v>
      </c>
      <c r="B17" t="s">
        <v>69</v>
      </c>
      <c r="C17">
        <v>6</v>
      </c>
      <c r="D17">
        <v>1</v>
      </c>
      <c r="E17" t="s">
        <v>131</v>
      </c>
    </row>
    <row r="18" spans="1:5" x14ac:dyDescent="0.45">
      <c r="A18">
        <v>18</v>
      </c>
      <c r="B18" t="s">
        <v>70</v>
      </c>
      <c r="C18">
        <v>6</v>
      </c>
      <c r="D18">
        <v>4</v>
      </c>
      <c r="E18" t="s">
        <v>132</v>
      </c>
    </row>
    <row r="19" spans="1:5" x14ac:dyDescent="0.45">
      <c r="A19">
        <v>19</v>
      </c>
      <c r="B19" t="s">
        <v>71</v>
      </c>
      <c r="C19">
        <v>6</v>
      </c>
      <c r="D19">
        <v>5</v>
      </c>
      <c r="E19" t="s">
        <v>133</v>
      </c>
    </row>
    <row r="20" spans="1:5" x14ac:dyDescent="0.45">
      <c r="A20">
        <v>20</v>
      </c>
      <c r="B20" t="s">
        <v>72</v>
      </c>
      <c r="C20">
        <v>6</v>
      </c>
      <c r="D20">
        <v>7</v>
      </c>
      <c r="E20" t="s">
        <v>134</v>
      </c>
    </row>
    <row r="21" spans="1:5" x14ac:dyDescent="0.45">
      <c r="A21">
        <v>21</v>
      </c>
      <c r="B21" t="s">
        <v>73</v>
      </c>
      <c r="C21">
        <v>7</v>
      </c>
      <c r="D21">
        <v>6</v>
      </c>
      <c r="E21" t="s">
        <v>135</v>
      </c>
    </row>
    <row r="22" spans="1:5" x14ac:dyDescent="0.45">
      <c r="A22">
        <v>22</v>
      </c>
      <c r="B22" t="s">
        <v>74</v>
      </c>
      <c r="C22">
        <v>7</v>
      </c>
      <c r="D22">
        <v>6</v>
      </c>
      <c r="E22" t="s">
        <v>136</v>
      </c>
    </row>
    <row r="23" spans="1:5" x14ac:dyDescent="0.45">
      <c r="A23">
        <v>23</v>
      </c>
      <c r="B23" t="s">
        <v>75</v>
      </c>
      <c r="C23">
        <v>7</v>
      </c>
      <c r="D23">
        <v>6</v>
      </c>
      <c r="E23" t="s">
        <v>137</v>
      </c>
    </row>
    <row r="24" spans="1:5" x14ac:dyDescent="0.45">
      <c r="A24">
        <v>24</v>
      </c>
      <c r="B24" t="s">
        <v>76</v>
      </c>
      <c r="C24">
        <v>8</v>
      </c>
      <c r="D24">
        <v>6</v>
      </c>
      <c r="E24" t="s">
        <v>138</v>
      </c>
    </row>
    <row r="25" spans="1:5" x14ac:dyDescent="0.45">
      <c r="A25">
        <v>25</v>
      </c>
      <c r="B25" t="s">
        <v>77</v>
      </c>
      <c r="C25">
        <v>8</v>
      </c>
      <c r="D25">
        <v>6</v>
      </c>
      <c r="E25" t="s">
        <v>139</v>
      </c>
    </row>
    <row r="26" spans="1:5" x14ac:dyDescent="0.45">
      <c r="A26">
        <v>26</v>
      </c>
      <c r="B26" t="s">
        <v>78</v>
      </c>
      <c r="C26">
        <v>8</v>
      </c>
      <c r="D26">
        <v>6</v>
      </c>
      <c r="E26" t="s">
        <v>140</v>
      </c>
    </row>
    <row r="27" spans="1:5" x14ac:dyDescent="0.45">
      <c r="A27">
        <v>27</v>
      </c>
      <c r="B27" t="s">
        <v>79</v>
      </c>
      <c r="C27">
        <v>9</v>
      </c>
      <c r="D27">
        <v>1</v>
      </c>
      <c r="E27" t="s">
        <v>141</v>
      </c>
    </row>
    <row r="28" spans="1:5" x14ac:dyDescent="0.45">
      <c r="A28">
        <v>28</v>
      </c>
      <c r="B28" t="s">
        <v>80</v>
      </c>
      <c r="C28">
        <v>9</v>
      </c>
      <c r="D28">
        <v>4</v>
      </c>
      <c r="E28" t="s">
        <v>142</v>
      </c>
    </row>
    <row r="29" spans="1:5" x14ac:dyDescent="0.45">
      <c r="A29">
        <v>29</v>
      </c>
      <c r="B29" t="s">
        <v>81</v>
      </c>
      <c r="C29">
        <v>9</v>
      </c>
      <c r="D29">
        <v>5</v>
      </c>
      <c r="E29" t="s">
        <v>143</v>
      </c>
    </row>
    <row r="30" spans="1:5" x14ac:dyDescent="0.45">
      <c r="A30">
        <v>30</v>
      </c>
      <c r="B30" t="s">
        <v>82</v>
      </c>
      <c r="C30">
        <v>10</v>
      </c>
      <c r="D30">
        <v>1</v>
      </c>
      <c r="E30" t="s">
        <v>144</v>
      </c>
    </row>
    <row r="31" spans="1:5" x14ac:dyDescent="0.45">
      <c r="A31">
        <v>31</v>
      </c>
      <c r="B31" t="s">
        <v>83</v>
      </c>
      <c r="C31">
        <v>10</v>
      </c>
      <c r="D31">
        <v>4</v>
      </c>
      <c r="E31" t="s">
        <v>145</v>
      </c>
    </row>
    <row r="32" spans="1:5" x14ac:dyDescent="0.45">
      <c r="A32">
        <v>32</v>
      </c>
      <c r="B32" t="s">
        <v>84</v>
      </c>
      <c r="C32">
        <v>10</v>
      </c>
      <c r="D32">
        <v>5</v>
      </c>
      <c r="E32" t="s">
        <v>146</v>
      </c>
    </row>
    <row r="33" spans="1:5" x14ac:dyDescent="0.45">
      <c r="A33">
        <v>33</v>
      </c>
      <c r="B33" t="s">
        <v>85</v>
      </c>
      <c r="C33">
        <v>11</v>
      </c>
      <c r="D33">
        <v>1</v>
      </c>
      <c r="E33" t="s">
        <v>147</v>
      </c>
    </row>
    <row r="34" spans="1:5" x14ac:dyDescent="0.45">
      <c r="A34">
        <v>34</v>
      </c>
      <c r="B34" t="s">
        <v>86</v>
      </c>
      <c r="C34">
        <v>11</v>
      </c>
      <c r="D34">
        <v>2</v>
      </c>
      <c r="E34" t="s">
        <v>148</v>
      </c>
    </row>
    <row r="35" spans="1:5" x14ac:dyDescent="0.45">
      <c r="A35">
        <v>35</v>
      </c>
      <c r="B35" t="s">
        <v>87</v>
      </c>
      <c r="C35">
        <v>11</v>
      </c>
      <c r="D35">
        <v>3</v>
      </c>
      <c r="E35" t="s">
        <v>149</v>
      </c>
    </row>
    <row r="36" spans="1:5" x14ac:dyDescent="0.45">
      <c r="A36">
        <v>36</v>
      </c>
      <c r="B36" t="s">
        <v>88</v>
      </c>
      <c r="C36">
        <v>11</v>
      </c>
      <c r="D36">
        <v>4</v>
      </c>
      <c r="E36" t="s">
        <v>150</v>
      </c>
    </row>
    <row r="37" spans="1:5" x14ac:dyDescent="0.45">
      <c r="A37">
        <v>37</v>
      </c>
      <c r="B37" t="s">
        <v>89</v>
      </c>
      <c r="C37">
        <v>11</v>
      </c>
      <c r="D37">
        <v>5</v>
      </c>
      <c r="E37" t="s">
        <v>151</v>
      </c>
    </row>
    <row r="38" spans="1:5" x14ac:dyDescent="0.45">
      <c r="A38">
        <v>38</v>
      </c>
      <c r="B38" t="s">
        <v>90</v>
      </c>
      <c r="C38">
        <v>12</v>
      </c>
      <c r="D38">
        <v>1</v>
      </c>
      <c r="E38" t="s">
        <v>152</v>
      </c>
    </row>
    <row r="39" spans="1:5" x14ac:dyDescent="0.45">
      <c r="A39">
        <v>39</v>
      </c>
      <c r="B39" t="s">
        <v>91</v>
      </c>
      <c r="C39">
        <v>12</v>
      </c>
      <c r="D39">
        <v>2</v>
      </c>
      <c r="E39" t="s">
        <v>153</v>
      </c>
    </row>
    <row r="40" spans="1:5" x14ac:dyDescent="0.45">
      <c r="A40">
        <v>40</v>
      </c>
      <c r="B40" t="s">
        <v>92</v>
      </c>
      <c r="C40">
        <v>12</v>
      </c>
      <c r="D40">
        <v>3</v>
      </c>
      <c r="E40" t="s">
        <v>154</v>
      </c>
    </row>
    <row r="41" spans="1:5" x14ac:dyDescent="0.45">
      <c r="A41">
        <v>41</v>
      </c>
      <c r="B41" t="s">
        <v>93</v>
      </c>
      <c r="C41">
        <v>12</v>
      </c>
      <c r="D41">
        <v>4</v>
      </c>
      <c r="E41" t="s">
        <v>155</v>
      </c>
    </row>
    <row r="42" spans="1:5" x14ac:dyDescent="0.45">
      <c r="A42">
        <v>42</v>
      </c>
      <c r="B42" t="s">
        <v>94</v>
      </c>
      <c r="C42">
        <v>12</v>
      </c>
      <c r="D42">
        <v>5</v>
      </c>
      <c r="E42" t="s">
        <v>156</v>
      </c>
    </row>
    <row r="43" spans="1:5" x14ac:dyDescent="0.45">
      <c r="A43">
        <v>43</v>
      </c>
      <c r="B43" t="s">
        <v>95</v>
      </c>
      <c r="C43">
        <v>13</v>
      </c>
      <c r="D43">
        <v>1</v>
      </c>
      <c r="E43" t="s">
        <v>157</v>
      </c>
    </row>
    <row r="44" spans="1:5" x14ac:dyDescent="0.45">
      <c r="A44">
        <v>44</v>
      </c>
      <c r="B44" t="s">
        <v>96</v>
      </c>
      <c r="C44">
        <v>13</v>
      </c>
      <c r="D44">
        <v>2</v>
      </c>
      <c r="E44" t="s">
        <v>158</v>
      </c>
    </row>
    <row r="45" spans="1:5" x14ac:dyDescent="0.45">
      <c r="A45">
        <v>45</v>
      </c>
      <c r="B45" t="s">
        <v>97</v>
      </c>
      <c r="C45">
        <v>13</v>
      </c>
      <c r="D45">
        <v>3</v>
      </c>
      <c r="E45" t="s">
        <v>159</v>
      </c>
    </row>
    <row r="46" spans="1:5" x14ac:dyDescent="0.45">
      <c r="A46">
        <v>46</v>
      </c>
      <c r="B46" t="s">
        <v>98</v>
      </c>
      <c r="C46">
        <v>13</v>
      </c>
      <c r="D46">
        <v>4</v>
      </c>
      <c r="E46" t="s">
        <v>160</v>
      </c>
    </row>
    <row r="47" spans="1:5" x14ac:dyDescent="0.45">
      <c r="A47">
        <v>47</v>
      </c>
      <c r="B47" t="s">
        <v>99</v>
      </c>
      <c r="C47">
        <v>13</v>
      </c>
      <c r="D47">
        <v>5</v>
      </c>
      <c r="E47" t="s">
        <v>161</v>
      </c>
    </row>
    <row r="48" spans="1:5" x14ac:dyDescent="0.45">
      <c r="A48">
        <v>48</v>
      </c>
      <c r="B48" t="s">
        <v>100</v>
      </c>
      <c r="C48">
        <v>14</v>
      </c>
      <c r="D48">
        <v>1</v>
      </c>
      <c r="E48" t="s">
        <v>162</v>
      </c>
    </row>
    <row r="49" spans="1:5" x14ac:dyDescent="0.45">
      <c r="A49">
        <v>49</v>
      </c>
      <c r="B49" t="s">
        <v>101</v>
      </c>
      <c r="C49">
        <v>14</v>
      </c>
      <c r="D49">
        <v>4</v>
      </c>
      <c r="E49" t="s">
        <v>163</v>
      </c>
    </row>
    <row r="50" spans="1:5" x14ac:dyDescent="0.45">
      <c r="A50">
        <v>50</v>
      </c>
      <c r="B50" t="s">
        <v>102</v>
      </c>
      <c r="C50">
        <v>14</v>
      </c>
      <c r="D50">
        <v>5</v>
      </c>
      <c r="E50" t="s">
        <v>164</v>
      </c>
    </row>
    <row r="51" spans="1:5" x14ac:dyDescent="0.45">
      <c r="A51">
        <v>51</v>
      </c>
      <c r="B51" t="s">
        <v>103</v>
      </c>
      <c r="C51">
        <v>15</v>
      </c>
      <c r="D51">
        <v>1</v>
      </c>
      <c r="E51" t="s">
        <v>165</v>
      </c>
    </row>
    <row r="52" spans="1:5" x14ac:dyDescent="0.45">
      <c r="A52">
        <v>52</v>
      </c>
      <c r="B52" t="s">
        <v>104</v>
      </c>
      <c r="C52">
        <v>15</v>
      </c>
      <c r="D52">
        <v>4</v>
      </c>
      <c r="E52" t="s">
        <v>166</v>
      </c>
    </row>
    <row r="53" spans="1:5" x14ac:dyDescent="0.45">
      <c r="A53">
        <v>53</v>
      </c>
      <c r="B53" t="s">
        <v>105</v>
      </c>
      <c r="C53">
        <v>15</v>
      </c>
      <c r="D53">
        <v>5</v>
      </c>
      <c r="E53" t="s">
        <v>167</v>
      </c>
    </row>
    <row r="54" spans="1:5" x14ac:dyDescent="0.45">
      <c r="A54">
        <v>54</v>
      </c>
      <c r="B54" t="s">
        <v>106</v>
      </c>
      <c r="C54">
        <v>16</v>
      </c>
      <c r="D54">
        <v>2</v>
      </c>
      <c r="E54" t="s">
        <v>168</v>
      </c>
    </row>
    <row r="55" spans="1:5" x14ac:dyDescent="0.45">
      <c r="A55">
        <v>55</v>
      </c>
      <c r="B55" t="s">
        <v>107</v>
      </c>
      <c r="C55">
        <v>17</v>
      </c>
      <c r="D55">
        <v>2</v>
      </c>
      <c r="E55" t="s">
        <v>169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62B7-7342-4595-B38C-D5FEA5ADA471}">
  <dimension ref="B1:C4"/>
  <sheetViews>
    <sheetView workbookViewId="0">
      <selection activeCell="B2" sqref="B2:C2"/>
    </sheetView>
  </sheetViews>
  <sheetFormatPr defaultRowHeight="14.25" x14ac:dyDescent="0.45"/>
  <cols>
    <col min="2" max="2" width="15.9296875" customWidth="1"/>
  </cols>
  <sheetData>
    <row r="1" spans="2:3" x14ac:dyDescent="0.45">
      <c r="B1" t="s">
        <v>170</v>
      </c>
      <c r="C1" t="s">
        <v>177</v>
      </c>
    </row>
    <row r="2" spans="2:3" x14ac:dyDescent="0.45">
      <c r="B2" t="s">
        <v>171</v>
      </c>
      <c r="C2" t="s">
        <v>178</v>
      </c>
    </row>
    <row r="3" spans="2:3" x14ac:dyDescent="0.45">
      <c r="B3" t="s">
        <v>173</v>
      </c>
      <c r="C3" t="s">
        <v>179</v>
      </c>
    </row>
    <row r="4" spans="2:3" x14ac:dyDescent="0.45">
      <c r="B4" t="s">
        <v>172</v>
      </c>
      <c r="C4" t="s">
        <v>180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CC5A-9A49-4CE5-B815-05A9AB0CDFF0}">
  <dimension ref="A1:B2"/>
  <sheetViews>
    <sheetView workbookViewId="0">
      <selection activeCell="B2" sqref="A2:B2"/>
    </sheetView>
  </sheetViews>
  <sheetFormatPr defaultRowHeight="14.25" x14ac:dyDescent="0.45"/>
  <sheetData>
    <row r="1" spans="1:2" x14ac:dyDescent="0.45">
      <c r="A1" t="s">
        <v>230</v>
      </c>
      <c r="B1" t="s">
        <v>231</v>
      </c>
    </row>
    <row r="2" spans="1:2" x14ac:dyDescent="0.45">
      <c r="A2" t="s">
        <v>280</v>
      </c>
      <c r="B2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ED6E-2590-4236-B40B-5802DDB2DEBD}">
  <dimension ref="A1:C1"/>
  <sheetViews>
    <sheetView workbookViewId="0">
      <selection activeCell="B1" sqref="B1"/>
    </sheetView>
  </sheetViews>
  <sheetFormatPr defaultRowHeight="14.25" x14ac:dyDescent="0.45"/>
  <cols>
    <col min="2" max="2" width="14.73046875" customWidth="1"/>
  </cols>
  <sheetData>
    <row r="1" spans="1:3" x14ac:dyDescent="0.45">
      <c r="A1">
        <v>4001</v>
      </c>
      <c r="B1" t="s">
        <v>174</v>
      </c>
      <c r="C1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DB41-79A1-45FB-AF7C-D7BCEDF11041}">
  <dimension ref="A1:B4"/>
  <sheetViews>
    <sheetView workbookViewId="0">
      <selection activeCell="A2" sqref="A2:B2"/>
    </sheetView>
  </sheetViews>
  <sheetFormatPr defaultRowHeight="14.25" x14ac:dyDescent="0.45"/>
  <cols>
    <col min="1" max="1" width="26.59765625" customWidth="1"/>
  </cols>
  <sheetData>
    <row r="1" spans="1:2" x14ac:dyDescent="0.45">
      <c r="A1" t="s">
        <v>175</v>
      </c>
      <c r="B1" t="s">
        <v>182</v>
      </c>
    </row>
    <row r="2" spans="1:2" x14ac:dyDescent="0.45">
      <c r="A2" t="s">
        <v>176</v>
      </c>
      <c r="B2" t="s">
        <v>183</v>
      </c>
    </row>
    <row r="3" spans="1:2" x14ac:dyDescent="0.45">
      <c r="A3" t="s">
        <v>276</v>
      </c>
      <c r="B3" t="s">
        <v>277</v>
      </c>
    </row>
    <row r="4" spans="1:2" x14ac:dyDescent="0.45">
      <c r="A4" t="s">
        <v>278</v>
      </c>
      <c r="B4" t="s">
        <v>279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9C97-26EF-4443-A5B8-D7A076204080}">
  <dimension ref="A1:F31"/>
  <sheetViews>
    <sheetView topLeftCell="A26" workbookViewId="0">
      <selection activeCell="F5" sqref="F5"/>
    </sheetView>
  </sheetViews>
  <sheetFormatPr defaultRowHeight="14.25" x14ac:dyDescent="0.45"/>
  <cols>
    <col min="1" max="1" width="2.73046875" bestFit="1" customWidth="1"/>
    <col min="2" max="2" width="12.53125" customWidth="1"/>
    <col min="3" max="3" width="7.6640625" customWidth="1"/>
    <col min="4" max="4" width="10.3984375" customWidth="1"/>
    <col min="5" max="5" width="4.19921875" bestFit="1" customWidth="1"/>
    <col min="6" max="6" width="28.46484375" customWidth="1"/>
  </cols>
  <sheetData>
    <row r="1" spans="1:6" ht="26.25" x14ac:dyDescent="0.45">
      <c r="A1" s="3">
        <v>1</v>
      </c>
      <c r="B1" s="4" t="s">
        <v>184</v>
      </c>
      <c r="C1" s="4">
        <v>90</v>
      </c>
      <c r="D1" s="4">
        <v>215</v>
      </c>
      <c r="E1" s="4">
        <v>0.4</v>
      </c>
      <c r="F1" s="5" t="s">
        <v>185</v>
      </c>
    </row>
    <row r="2" spans="1:6" ht="26.25" x14ac:dyDescent="0.45">
      <c r="A2" s="6">
        <v>2</v>
      </c>
      <c r="B2" s="7" t="s">
        <v>184</v>
      </c>
      <c r="C2" s="7">
        <v>122</v>
      </c>
      <c r="D2" s="7">
        <v>244</v>
      </c>
      <c r="E2" s="7">
        <v>0.4</v>
      </c>
      <c r="F2" s="8" t="s">
        <v>186</v>
      </c>
    </row>
    <row r="3" spans="1:6" ht="26.25" x14ac:dyDescent="0.45">
      <c r="A3" s="3">
        <v>3</v>
      </c>
      <c r="B3" s="4" t="s">
        <v>187</v>
      </c>
      <c r="C3" s="4">
        <v>90</v>
      </c>
      <c r="D3" s="4">
        <v>215</v>
      </c>
      <c r="E3" s="4">
        <v>0.6</v>
      </c>
      <c r="F3" s="5" t="s">
        <v>188</v>
      </c>
    </row>
    <row r="4" spans="1:6" ht="26.25" x14ac:dyDescent="0.45">
      <c r="A4" s="6">
        <v>4</v>
      </c>
      <c r="B4" s="7" t="s">
        <v>187</v>
      </c>
      <c r="C4" s="7">
        <v>122</v>
      </c>
      <c r="D4" s="7">
        <v>244</v>
      </c>
      <c r="E4" s="7">
        <v>0.6</v>
      </c>
      <c r="F4" s="8" t="s">
        <v>189</v>
      </c>
    </row>
    <row r="5" spans="1:6" ht="26.25" x14ac:dyDescent="0.45">
      <c r="A5" s="3">
        <v>5</v>
      </c>
      <c r="B5" s="4" t="s">
        <v>187</v>
      </c>
      <c r="C5" s="4">
        <v>122</v>
      </c>
      <c r="D5" s="4">
        <v>305</v>
      </c>
      <c r="E5" s="4">
        <v>0.6</v>
      </c>
      <c r="F5" s="5" t="s">
        <v>190</v>
      </c>
    </row>
    <row r="6" spans="1:6" ht="39.4" x14ac:dyDescent="0.45">
      <c r="A6" s="6">
        <v>6</v>
      </c>
      <c r="B6" s="7" t="s">
        <v>191</v>
      </c>
      <c r="C6" s="7">
        <v>65</v>
      </c>
      <c r="D6" s="7">
        <v>205</v>
      </c>
      <c r="E6" s="7">
        <v>0.18</v>
      </c>
      <c r="F6" s="8" t="s">
        <v>192</v>
      </c>
    </row>
    <row r="7" spans="1:6" ht="39.4" x14ac:dyDescent="0.45">
      <c r="A7" s="3">
        <v>7</v>
      </c>
      <c r="B7" s="4" t="s">
        <v>191</v>
      </c>
      <c r="C7" s="4">
        <v>65</v>
      </c>
      <c r="D7" s="4">
        <v>215</v>
      </c>
      <c r="E7" s="4">
        <v>0.18</v>
      </c>
      <c r="F7" s="5" t="s">
        <v>193</v>
      </c>
    </row>
    <row r="8" spans="1:6" ht="39.4" x14ac:dyDescent="0.45">
      <c r="A8" s="6">
        <v>8</v>
      </c>
      <c r="B8" s="7" t="s">
        <v>191</v>
      </c>
      <c r="C8" s="7">
        <v>65</v>
      </c>
      <c r="D8" s="7">
        <v>225</v>
      </c>
      <c r="E8" s="7">
        <v>0.18</v>
      </c>
      <c r="F8" s="8" t="s">
        <v>194</v>
      </c>
    </row>
    <row r="9" spans="1:6" ht="39.4" x14ac:dyDescent="0.45">
      <c r="A9" s="3">
        <v>9</v>
      </c>
      <c r="B9" s="4" t="s">
        <v>191</v>
      </c>
      <c r="C9" s="4">
        <v>75</v>
      </c>
      <c r="D9" s="4">
        <v>205</v>
      </c>
      <c r="E9" s="4">
        <v>0.18</v>
      </c>
      <c r="F9" s="5" t="s">
        <v>195</v>
      </c>
    </row>
    <row r="10" spans="1:6" ht="39.4" x14ac:dyDescent="0.45">
      <c r="A10" s="6">
        <v>10</v>
      </c>
      <c r="B10" s="7" t="s">
        <v>191</v>
      </c>
      <c r="C10" s="7">
        <v>75</v>
      </c>
      <c r="D10" s="7">
        <v>215</v>
      </c>
      <c r="E10" s="7">
        <v>0.18</v>
      </c>
      <c r="F10" s="8" t="s">
        <v>196</v>
      </c>
    </row>
    <row r="11" spans="1:6" ht="39.4" x14ac:dyDescent="0.45">
      <c r="A11" s="3">
        <v>11</v>
      </c>
      <c r="B11" s="4" t="s">
        <v>191</v>
      </c>
      <c r="C11" s="4">
        <v>75</v>
      </c>
      <c r="D11" s="4">
        <v>225</v>
      </c>
      <c r="E11" s="4">
        <v>0.18</v>
      </c>
      <c r="F11" s="5" t="s">
        <v>197</v>
      </c>
    </row>
    <row r="12" spans="1:6" ht="39.4" x14ac:dyDescent="0.45">
      <c r="A12" s="6">
        <v>12</v>
      </c>
      <c r="B12" s="7" t="s">
        <v>191</v>
      </c>
      <c r="C12" s="7">
        <v>85</v>
      </c>
      <c r="D12" s="7">
        <v>205</v>
      </c>
      <c r="E12" s="7">
        <v>0.18</v>
      </c>
      <c r="F12" s="8" t="s">
        <v>198</v>
      </c>
    </row>
    <row r="13" spans="1:6" ht="39.4" x14ac:dyDescent="0.45">
      <c r="A13" s="3">
        <v>13</v>
      </c>
      <c r="B13" s="4" t="s">
        <v>191</v>
      </c>
      <c r="C13" s="4">
        <v>85</v>
      </c>
      <c r="D13" s="4">
        <v>215</v>
      </c>
      <c r="E13" s="4">
        <v>0.18</v>
      </c>
      <c r="F13" s="5" t="s">
        <v>199</v>
      </c>
    </row>
    <row r="14" spans="1:6" ht="39.4" x14ac:dyDescent="0.45">
      <c r="A14" s="6">
        <v>14</v>
      </c>
      <c r="B14" s="7" t="s">
        <v>191</v>
      </c>
      <c r="C14" s="7">
        <v>85</v>
      </c>
      <c r="D14" s="7">
        <v>225</v>
      </c>
      <c r="E14" s="7">
        <v>0.18</v>
      </c>
      <c r="F14" s="8" t="s">
        <v>200</v>
      </c>
    </row>
    <row r="15" spans="1:6" ht="39.4" x14ac:dyDescent="0.45">
      <c r="A15" s="3">
        <v>15</v>
      </c>
      <c r="B15" s="4" t="s">
        <v>191</v>
      </c>
      <c r="C15" s="4">
        <v>95</v>
      </c>
      <c r="D15" s="4">
        <v>205</v>
      </c>
      <c r="E15" s="4">
        <v>0.18</v>
      </c>
      <c r="F15" s="5" t="s">
        <v>201</v>
      </c>
    </row>
    <row r="16" spans="1:6" ht="39.4" x14ac:dyDescent="0.45">
      <c r="A16" s="6">
        <v>16</v>
      </c>
      <c r="B16" s="7" t="s">
        <v>191</v>
      </c>
      <c r="C16" s="7">
        <v>95</v>
      </c>
      <c r="D16" s="7">
        <v>215</v>
      </c>
      <c r="E16" s="7">
        <v>0.18</v>
      </c>
      <c r="F16" s="8" t="s">
        <v>202</v>
      </c>
    </row>
    <row r="17" spans="1:6" ht="39.4" x14ac:dyDescent="0.45">
      <c r="A17" s="3">
        <v>17</v>
      </c>
      <c r="B17" s="4" t="s">
        <v>191</v>
      </c>
      <c r="C17" s="4">
        <v>95</v>
      </c>
      <c r="D17" s="4">
        <v>225</v>
      </c>
      <c r="E17" s="4">
        <v>0.18</v>
      </c>
      <c r="F17" s="5" t="s">
        <v>203</v>
      </c>
    </row>
    <row r="18" spans="1:6" ht="39.4" x14ac:dyDescent="0.45">
      <c r="A18" s="6">
        <v>18</v>
      </c>
      <c r="B18" s="7" t="s">
        <v>191</v>
      </c>
      <c r="C18" s="7">
        <v>122</v>
      </c>
      <c r="D18" s="7">
        <v>244</v>
      </c>
      <c r="E18" s="7">
        <v>0.18</v>
      </c>
      <c r="F18" s="8" t="s">
        <v>204</v>
      </c>
    </row>
    <row r="19" spans="1:6" ht="39.4" x14ac:dyDescent="0.45">
      <c r="A19" s="3">
        <v>19</v>
      </c>
      <c r="B19" s="4" t="s">
        <v>191</v>
      </c>
      <c r="C19" s="4">
        <v>122</v>
      </c>
      <c r="D19" s="4">
        <v>305</v>
      </c>
      <c r="E19" s="4">
        <v>0.18</v>
      </c>
      <c r="F19" s="5" t="s">
        <v>205</v>
      </c>
    </row>
    <row r="20" spans="1:6" ht="26.25" x14ac:dyDescent="0.45">
      <c r="A20" s="6">
        <v>20</v>
      </c>
      <c r="B20" s="7" t="s">
        <v>206</v>
      </c>
      <c r="C20" s="7">
        <v>90</v>
      </c>
      <c r="D20" s="7">
        <v>215</v>
      </c>
      <c r="E20" s="7">
        <v>0.28000000000000003</v>
      </c>
      <c r="F20" s="8" t="s">
        <v>207</v>
      </c>
    </row>
    <row r="21" spans="1:6" ht="26.25" x14ac:dyDescent="0.45">
      <c r="A21" s="3">
        <v>21</v>
      </c>
      <c r="B21" s="4" t="s">
        <v>208</v>
      </c>
      <c r="C21" s="4">
        <v>90</v>
      </c>
      <c r="D21" s="4">
        <v>215</v>
      </c>
      <c r="E21" s="4">
        <v>0.34</v>
      </c>
      <c r="F21" s="5" t="s">
        <v>209</v>
      </c>
    </row>
    <row r="22" spans="1:6" ht="26.25" x14ac:dyDescent="0.45">
      <c r="A22" s="6">
        <v>22</v>
      </c>
      <c r="B22" s="7" t="s">
        <v>210</v>
      </c>
      <c r="C22" s="7">
        <v>90</v>
      </c>
      <c r="D22" s="7">
        <v>215</v>
      </c>
      <c r="E22" s="7">
        <v>0.38</v>
      </c>
      <c r="F22" s="8" t="s">
        <v>211</v>
      </c>
    </row>
    <row r="23" spans="1:6" ht="26.25" x14ac:dyDescent="0.45">
      <c r="A23" s="3">
        <v>23</v>
      </c>
      <c r="B23" s="4" t="s">
        <v>212</v>
      </c>
      <c r="C23" s="4">
        <v>90</v>
      </c>
      <c r="D23" s="4">
        <v>215</v>
      </c>
      <c r="E23" s="4">
        <v>0.44</v>
      </c>
      <c r="F23" s="5" t="s">
        <v>213</v>
      </c>
    </row>
    <row r="24" spans="1:6" ht="26.25" x14ac:dyDescent="0.45">
      <c r="A24" s="6">
        <v>24</v>
      </c>
      <c r="B24" s="7" t="s">
        <v>214</v>
      </c>
      <c r="C24" s="7">
        <v>90</v>
      </c>
      <c r="D24" s="7">
        <v>215</v>
      </c>
      <c r="E24" s="7">
        <v>0.33</v>
      </c>
      <c r="F24" s="8" t="s">
        <v>215</v>
      </c>
    </row>
    <row r="25" spans="1:6" ht="26.25" x14ac:dyDescent="0.45">
      <c r="A25" s="3">
        <v>25</v>
      </c>
      <c r="B25" s="4" t="s">
        <v>216</v>
      </c>
      <c r="C25" s="4">
        <v>90</v>
      </c>
      <c r="D25" s="4">
        <v>215</v>
      </c>
      <c r="E25" s="4">
        <v>0.45</v>
      </c>
      <c r="F25" s="5" t="s">
        <v>217</v>
      </c>
    </row>
    <row r="26" spans="1:6" ht="26.25" x14ac:dyDescent="0.45">
      <c r="A26" s="6">
        <v>26</v>
      </c>
      <c r="B26" s="7" t="s">
        <v>218</v>
      </c>
      <c r="C26" s="7">
        <v>122</v>
      </c>
      <c r="D26" s="7">
        <v>244</v>
      </c>
      <c r="E26" s="7">
        <v>0.3</v>
      </c>
      <c r="F26" s="8" t="s">
        <v>219</v>
      </c>
    </row>
    <row r="27" spans="1:6" ht="39.4" x14ac:dyDescent="0.45">
      <c r="A27" s="3">
        <v>27</v>
      </c>
      <c r="B27" s="4" t="s">
        <v>220</v>
      </c>
      <c r="C27" s="4">
        <v>122</v>
      </c>
      <c r="D27" s="4">
        <v>244</v>
      </c>
      <c r="E27" s="4">
        <v>0.8</v>
      </c>
      <c r="F27" s="5" t="s">
        <v>221</v>
      </c>
    </row>
    <row r="28" spans="1:6" ht="26.25" x14ac:dyDescent="0.45">
      <c r="A28" s="6">
        <v>28</v>
      </c>
      <c r="B28" s="7" t="s">
        <v>222</v>
      </c>
      <c r="C28" s="7">
        <v>122</v>
      </c>
      <c r="D28" s="7">
        <v>305</v>
      </c>
      <c r="E28" s="7">
        <v>3</v>
      </c>
      <c r="F28" s="8" t="s">
        <v>223</v>
      </c>
    </row>
    <row r="29" spans="1:6" ht="26.25" x14ac:dyDescent="0.45">
      <c r="A29" s="3">
        <v>29</v>
      </c>
      <c r="B29" s="4" t="s">
        <v>224</v>
      </c>
      <c r="C29" s="4">
        <v>122</v>
      </c>
      <c r="D29" s="4">
        <v>305</v>
      </c>
      <c r="E29" s="4">
        <v>3</v>
      </c>
      <c r="F29" s="5" t="s">
        <v>225</v>
      </c>
    </row>
    <row r="30" spans="1:6" ht="25.5" x14ac:dyDescent="0.45">
      <c r="A30" s="6">
        <v>30</v>
      </c>
      <c r="B30" s="7" t="s">
        <v>226</v>
      </c>
      <c r="C30" s="7">
        <v>60</v>
      </c>
      <c r="D30" s="7">
        <v>120</v>
      </c>
      <c r="E30" s="7">
        <v>4</v>
      </c>
      <c r="F30" s="9" t="s">
        <v>227</v>
      </c>
    </row>
    <row r="31" spans="1:6" ht="25.5" x14ac:dyDescent="0.45">
      <c r="A31" s="3">
        <v>31</v>
      </c>
      <c r="B31" s="4" t="s">
        <v>228</v>
      </c>
      <c r="C31" s="4">
        <v>60</v>
      </c>
      <c r="D31" s="4">
        <v>120</v>
      </c>
      <c r="E31" s="4">
        <v>6</v>
      </c>
      <c r="F31" s="9" t="s">
        <v>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8A3B-719B-4BD1-BCEE-CB65D0ECC505}">
  <dimension ref="A1:J11"/>
  <sheetViews>
    <sheetView rightToLeft="1" workbookViewId="0">
      <selection activeCell="E17" sqref="E17"/>
    </sheetView>
  </sheetViews>
  <sheetFormatPr defaultRowHeight="14.25" x14ac:dyDescent="0.45"/>
  <cols>
    <col min="3" max="3" width="37.796875" customWidth="1"/>
    <col min="4" max="4" width="9.46484375" customWidth="1"/>
    <col min="5" max="5" width="31" customWidth="1"/>
    <col min="9" max="9" width="22.46484375" customWidth="1"/>
    <col min="10" max="10" width="12.1328125" customWidth="1"/>
  </cols>
  <sheetData>
    <row r="1" spans="1:10" x14ac:dyDescent="0.45">
      <c r="A1" s="13" t="s">
        <v>232</v>
      </c>
      <c r="B1" s="13"/>
      <c r="C1" s="13"/>
      <c r="D1" s="14" t="s">
        <v>233</v>
      </c>
      <c r="E1" s="14" t="s">
        <v>237</v>
      </c>
      <c r="I1" s="15" t="s">
        <v>239</v>
      </c>
      <c r="J1" s="15" t="s">
        <v>240</v>
      </c>
    </row>
    <row r="2" spans="1:10" ht="14.65" thickBot="1" x14ac:dyDescent="0.5">
      <c r="A2" s="10">
        <v>3</v>
      </c>
      <c r="B2" s="10" t="s">
        <v>118</v>
      </c>
      <c r="C2" s="10" t="s">
        <v>56</v>
      </c>
      <c r="D2" s="11" t="s">
        <v>234</v>
      </c>
      <c r="E2" s="12" t="s">
        <v>238</v>
      </c>
      <c r="I2" s="16" t="s">
        <v>192</v>
      </c>
      <c r="J2" s="17">
        <v>2</v>
      </c>
    </row>
    <row r="3" spans="1:10" x14ac:dyDescent="0.45">
      <c r="D3" s="22" t="s">
        <v>235</v>
      </c>
      <c r="E3" s="24" t="str" cm="1">
        <f t="array" ref="E3:F6">I2:J5</f>
        <v>msh_aqua1.8x65x205</v>
      </c>
      <c r="F3" s="25">
        <v>2</v>
      </c>
      <c r="I3" s="18" t="s">
        <v>211</v>
      </c>
      <c r="J3" s="19">
        <v>1.2</v>
      </c>
    </row>
    <row r="4" spans="1:10" x14ac:dyDescent="0.45">
      <c r="D4" s="22"/>
      <c r="E4" s="26" t="str">
        <v>msh_flex38</v>
      </c>
      <c r="F4" s="27">
        <v>1.2</v>
      </c>
      <c r="I4" t="s">
        <v>241</v>
      </c>
      <c r="J4" s="19">
        <v>10</v>
      </c>
    </row>
    <row r="5" spans="1:10" x14ac:dyDescent="0.45">
      <c r="D5" s="22"/>
      <c r="E5" s="26" t="str">
        <v>mli_pine</v>
      </c>
      <c r="F5" s="27">
        <v>10</v>
      </c>
      <c r="I5" s="20" t="s">
        <v>242</v>
      </c>
      <c r="J5" s="21">
        <v>6</v>
      </c>
    </row>
    <row r="6" spans="1:10" ht="14.65" thickBot="1" x14ac:dyDescent="0.5">
      <c r="D6" s="22"/>
      <c r="E6" s="28" t="str">
        <v>mli_pvc_1.2w</v>
      </c>
      <c r="F6" s="29">
        <v>6</v>
      </c>
      <c r="I6" s="16" t="s">
        <v>195</v>
      </c>
      <c r="J6" s="17">
        <v>2</v>
      </c>
    </row>
    <row r="7" spans="1:10" x14ac:dyDescent="0.45">
      <c r="D7" s="22" t="s">
        <v>236</v>
      </c>
      <c r="E7" s="30" t="str" cm="1">
        <f t="array" ref="E7:F10">I6:J9</f>
        <v>msh_aqua1.8x75x205</v>
      </c>
      <c r="F7" s="31">
        <v>2</v>
      </c>
      <c r="I7" s="18" t="s">
        <v>211</v>
      </c>
      <c r="J7" s="19">
        <v>1.2</v>
      </c>
    </row>
    <row r="8" spans="1:10" x14ac:dyDescent="0.45">
      <c r="D8" s="22"/>
      <c r="E8" s="32" t="str">
        <v>msh_flex38</v>
      </c>
      <c r="F8" s="33">
        <v>1.2</v>
      </c>
      <c r="I8" t="s">
        <v>241</v>
      </c>
      <c r="J8" s="19">
        <v>10</v>
      </c>
    </row>
    <row r="9" spans="1:10" x14ac:dyDescent="0.45">
      <c r="D9" s="22"/>
      <c r="E9" s="32" t="str">
        <v>mli_pine</v>
      </c>
      <c r="F9" s="33">
        <v>10</v>
      </c>
      <c r="I9" s="20" t="s">
        <v>242</v>
      </c>
      <c r="J9" s="21">
        <v>6</v>
      </c>
    </row>
    <row r="10" spans="1:10" ht="14.65" thickBot="1" x14ac:dyDescent="0.5">
      <c r="D10" s="22"/>
      <c r="E10" s="34" t="str">
        <v>mli_pvc_1.2w</v>
      </c>
      <c r="F10" s="35">
        <v>6</v>
      </c>
    </row>
    <row r="11" spans="1:10" x14ac:dyDescent="0.45">
      <c r="D11" s="11"/>
    </row>
  </sheetData>
  <mergeCells count="3">
    <mergeCell ref="A1:C1"/>
    <mergeCell ref="D3:D6"/>
    <mergeCell ref="D7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DAF1-9AC6-4371-BA22-B8DA91B0EA48}">
  <dimension ref="A1:N31"/>
  <sheetViews>
    <sheetView rightToLeft="1" tabSelected="1" topLeftCell="A19" workbookViewId="0">
      <selection activeCell="N14" sqref="N14"/>
    </sheetView>
  </sheetViews>
  <sheetFormatPr defaultRowHeight="14.25" x14ac:dyDescent="0.45"/>
  <cols>
    <col min="1" max="1" width="7.86328125" customWidth="1"/>
    <col min="3" max="3" width="40.6640625" customWidth="1"/>
    <col min="8" max="8" width="10.53125" customWidth="1"/>
    <col min="9" max="9" width="16.33203125" customWidth="1"/>
    <col min="11" max="11" width="11.3984375" customWidth="1"/>
    <col min="12" max="12" width="12.3984375" customWidth="1"/>
    <col min="13" max="13" width="9" bestFit="1" customWidth="1"/>
    <col min="14" max="14" width="10.796875" bestFit="1" customWidth="1"/>
  </cols>
  <sheetData>
    <row r="1" spans="1:14" ht="52.15" customHeight="1" x14ac:dyDescent="0.45">
      <c r="A1" s="36" t="s">
        <v>282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45">
      <c r="H2" t="s">
        <v>283</v>
      </c>
    </row>
    <row r="3" spans="1:14" x14ac:dyDescent="0.45">
      <c r="A3" s="38" t="s">
        <v>243</v>
      </c>
      <c r="B3" s="38" t="s">
        <v>244</v>
      </c>
      <c r="C3" s="38" t="s">
        <v>245</v>
      </c>
      <c r="D3" s="38" t="s">
        <v>240</v>
      </c>
      <c r="H3" s="38" t="s">
        <v>243</v>
      </c>
      <c r="I3" s="38" t="s">
        <v>289</v>
      </c>
      <c r="J3" s="48" t="s">
        <v>284</v>
      </c>
      <c r="K3" s="48" t="s">
        <v>285</v>
      </c>
      <c r="L3" s="48" t="s">
        <v>286</v>
      </c>
      <c r="M3" s="48" t="s">
        <v>287</v>
      </c>
      <c r="N3" s="48" t="s">
        <v>288</v>
      </c>
    </row>
    <row r="4" spans="1:14" x14ac:dyDescent="0.45">
      <c r="A4" s="39">
        <v>1</v>
      </c>
      <c r="B4" s="39" t="s">
        <v>118</v>
      </c>
      <c r="C4" s="39" t="s">
        <v>56</v>
      </c>
      <c r="D4" s="42">
        <v>3</v>
      </c>
      <c r="H4">
        <v>1</v>
      </c>
      <c r="I4" t="s">
        <v>290</v>
      </c>
      <c r="J4">
        <v>206</v>
      </c>
      <c r="K4">
        <v>85</v>
      </c>
      <c r="L4">
        <v>12</v>
      </c>
      <c r="M4" t="s">
        <v>297</v>
      </c>
      <c r="N4" t="s">
        <v>299</v>
      </c>
    </row>
    <row r="5" spans="1:14" x14ac:dyDescent="0.45">
      <c r="A5" s="23"/>
      <c r="B5" s="23" t="s">
        <v>248</v>
      </c>
      <c r="C5" s="23" t="s">
        <v>31</v>
      </c>
      <c r="D5" s="42"/>
      <c r="H5">
        <v>2</v>
      </c>
      <c r="I5" t="s">
        <v>291</v>
      </c>
      <c r="J5">
        <v>206</v>
      </c>
      <c r="K5">
        <v>84</v>
      </c>
      <c r="L5">
        <v>12</v>
      </c>
      <c r="M5" t="s">
        <v>298</v>
      </c>
      <c r="N5" t="s">
        <v>299</v>
      </c>
    </row>
    <row r="6" spans="1:14" x14ac:dyDescent="0.45">
      <c r="A6" s="23"/>
      <c r="B6" s="23" t="s">
        <v>277</v>
      </c>
      <c r="C6" s="23" t="s">
        <v>276</v>
      </c>
      <c r="D6" s="42"/>
      <c r="H6">
        <v>3</v>
      </c>
      <c r="I6" t="s">
        <v>292</v>
      </c>
      <c r="J6">
        <v>206</v>
      </c>
      <c r="K6">
        <v>86</v>
      </c>
      <c r="L6">
        <v>12</v>
      </c>
      <c r="M6" t="s">
        <v>297</v>
      </c>
      <c r="N6" t="s">
        <v>300</v>
      </c>
    </row>
    <row r="7" spans="1:14" ht="14.65" thickBot="1" x14ac:dyDescent="0.5">
      <c r="A7" s="40"/>
      <c r="B7" s="40" t="s">
        <v>181</v>
      </c>
      <c r="C7" s="40" t="s">
        <v>174</v>
      </c>
      <c r="D7" s="43"/>
      <c r="H7">
        <v>4</v>
      </c>
      <c r="I7" t="s">
        <v>293</v>
      </c>
      <c r="J7">
        <v>206</v>
      </c>
      <c r="K7">
        <v>140</v>
      </c>
      <c r="L7">
        <v>14</v>
      </c>
      <c r="M7" t="s">
        <v>297</v>
      </c>
      <c r="N7" t="s">
        <v>299</v>
      </c>
    </row>
    <row r="8" spans="1:14" ht="14.65" thickTop="1" x14ac:dyDescent="0.45">
      <c r="A8" s="44">
        <v>2</v>
      </c>
      <c r="B8" s="45" t="s">
        <v>118</v>
      </c>
      <c r="C8" s="45" t="s">
        <v>56</v>
      </c>
      <c r="D8" s="41">
        <v>1</v>
      </c>
      <c r="H8">
        <v>5</v>
      </c>
      <c r="I8" t="s">
        <v>296</v>
      </c>
      <c r="J8">
        <v>206</v>
      </c>
      <c r="K8">
        <v>85</v>
      </c>
      <c r="L8">
        <v>12</v>
      </c>
      <c r="M8" t="s">
        <v>297</v>
      </c>
      <c r="N8" t="s">
        <v>299</v>
      </c>
    </row>
    <row r="9" spans="1:14" x14ac:dyDescent="0.45">
      <c r="A9" s="23"/>
      <c r="B9" s="23" t="s">
        <v>179</v>
      </c>
      <c r="C9" s="23" t="s">
        <v>173</v>
      </c>
      <c r="D9" s="46"/>
      <c r="H9">
        <v>6</v>
      </c>
      <c r="I9" t="s">
        <v>295</v>
      </c>
      <c r="J9">
        <v>206</v>
      </c>
      <c r="K9">
        <v>69</v>
      </c>
      <c r="L9">
        <v>10</v>
      </c>
      <c r="M9" t="s">
        <v>298</v>
      </c>
      <c r="N9" t="s">
        <v>299</v>
      </c>
    </row>
    <row r="10" spans="1:14" x14ac:dyDescent="0.45">
      <c r="A10" s="23"/>
      <c r="B10" t="s">
        <v>182</v>
      </c>
      <c r="C10" t="s">
        <v>175</v>
      </c>
      <c r="D10" s="46"/>
      <c r="H10">
        <v>7</v>
      </c>
      <c r="I10" t="s">
        <v>294</v>
      </c>
      <c r="J10">
        <v>206</v>
      </c>
      <c r="K10">
        <v>100</v>
      </c>
      <c r="L10">
        <v>10</v>
      </c>
      <c r="M10" t="s">
        <v>297</v>
      </c>
      <c r="N10" t="s">
        <v>299</v>
      </c>
    </row>
    <row r="11" spans="1:14" x14ac:dyDescent="0.45">
      <c r="A11" s="23"/>
      <c r="B11" s="23" t="s">
        <v>231</v>
      </c>
      <c r="C11" s="23" t="s">
        <v>230</v>
      </c>
      <c r="D11" s="46"/>
    </row>
    <row r="12" spans="1:14" x14ac:dyDescent="0.45">
      <c r="A12" s="23"/>
      <c r="B12" s="23" t="s">
        <v>277</v>
      </c>
      <c r="C12" s="23" t="s">
        <v>276</v>
      </c>
      <c r="D12" s="46"/>
    </row>
    <row r="13" spans="1:14" ht="14.65" thickBot="1" x14ac:dyDescent="0.5">
      <c r="A13" s="40"/>
      <c r="B13" s="40" t="s">
        <v>181</v>
      </c>
      <c r="C13" s="40" t="s">
        <v>174</v>
      </c>
      <c r="D13" s="47"/>
    </row>
    <row r="14" spans="1:14" ht="14.65" thickTop="1" x14ac:dyDescent="0.45">
      <c r="A14" s="44">
        <v>3</v>
      </c>
      <c r="B14" s="45" t="s">
        <v>118</v>
      </c>
      <c r="C14" s="45" t="s">
        <v>56</v>
      </c>
      <c r="D14" s="41">
        <v>1</v>
      </c>
    </row>
    <row r="15" spans="1:14" x14ac:dyDescent="0.45">
      <c r="A15" s="10"/>
      <c r="B15" s="23" t="s">
        <v>180</v>
      </c>
      <c r="C15" s="23" t="s">
        <v>172</v>
      </c>
      <c r="D15" s="46"/>
    </row>
    <row r="16" spans="1:14" x14ac:dyDescent="0.45">
      <c r="A16" s="23"/>
      <c r="B16" s="23" t="s">
        <v>248</v>
      </c>
      <c r="C16" s="23" t="s">
        <v>31</v>
      </c>
      <c r="D16" s="46"/>
    </row>
    <row r="17" spans="1:4" x14ac:dyDescent="0.45">
      <c r="A17" s="23"/>
      <c r="B17" s="23" t="s">
        <v>277</v>
      </c>
      <c r="C17" s="23" t="s">
        <v>276</v>
      </c>
      <c r="D17" s="46"/>
    </row>
    <row r="18" spans="1:4" ht="14.65" thickBot="1" x14ac:dyDescent="0.5">
      <c r="A18" s="40"/>
      <c r="B18" s="40" t="s">
        <v>181</v>
      </c>
      <c r="C18" s="40" t="s">
        <v>174</v>
      </c>
      <c r="D18" s="47"/>
    </row>
    <row r="19" spans="1:4" ht="14.65" thickTop="1" x14ac:dyDescent="0.45">
      <c r="A19" s="44">
        <v>4</v>
      </c>
      <c r="B19" s="45" t="s">
        <v>118</v>
      </c>
      <c r="C19" s="45" t="s">
        <v>56</v>
      </c>
      <c r="D19" s="41">
        <v>1</v>
      </c>
    </row>
    <row r="20" spans="1:4" x14ac:dyDescent="0.45">
      <c r="A20" s="23"/>
      <c r="B20" s="23" t="s">
        <v>248</v>
      </c>
      <c r="C20" s="23" t="s">
        <v>31</v>
      </c>
      <c r="D20" s="46"/>
    </row>
    <row r="21" spans="1:4" x14ac:dyDescent="0.45">
      <c r="A21" s="23"/>
      <c r="B21" s="23" t="s">
        <v>281</v>
      </c>
      <c r="C21" s="23" t="s">
        <v>280</v>
      </c>
      <c r="D21" s="46"/>
    </row>
    <row r="22" spans="1:4" x14ac:dyDescent="0.45">
      <c r="A22" s="23"/>
      <c r="B22" s="23" t="s">
        <v>279</v>
      </c>
      <c r="C22" s="23" t="s">
        <v>278</v>
      </c>
      <c r="D22" s="46"/>
    </row>
    <row r="23" spans="1:4" ht="14.65" thickBot="1" x14ac:dyDescent="0.5">
      <c r="A23" s="40"/>
      <c r="B23" s="40" t="s">
        <v>181</v>
      </c>
      <c r="C23" s="40" t="s">
        <v>174</v>
      </c>
      <c r="D23" s="47"/>
    </row>
    <row r="24" spans="1:4" ht="14.65" thickTop="1" x14ac:dyDescent="0.45">
      <c r="A24" s="44">
        <v>5</v>
      </c>
      <c r="B24" s="45" t="s">
        <v>118</v>
      </c>
      <c r="C24" s="45" t="s">
        <v>56</v>
      </c>
      <c r="D24" s="41">
        <v>1</v>
      </c>
    </row>
    <row r="25" spans="1:4" x14ac:dyDescent="0.45">
      <c r="A25" s="23"/>
      <c r="B25" t="s">
        <v>178</v>
      </c>
      <c r="C25" t="s">
        <v>171</v>
      </c>
      <c r="D25" s="46"/>
    </row>
    <row r="26" spans="1:4" x14ac:dyDescent="0.45">
      <c r="A26" s="23"/>
      <c r="B26" s="23" t="s">
        <v>248</v>
      </c>
      <c r="C26" s="23" t="s">
        <v>31</v>
      </c>
      <c r="D26" s="46"/>
    </row>
    <row r="27" spans="1:4" x14ac:dyDescent="0.45">
      <c r="A27" s="23"/>
      <c r="B27" s="23" t="s">
        <v>281</v>
      </c>
      <c r="C27" s="23" t="s">
        <v>280</v>
      </c>
      <c r="D27" s="46"/>
    </row>
    <row r="28" spans="1:4" x14ac:dyDescent="0.45">
      <c r="A28" s="23"/>
      <c r="B28" s="23" t="s">
        <v>279</v>
      </c>
      <c r="C28" s="23" t="s">
        <v>278</v>
      </c>
      <c r="D28" s="46"/>
    </row>
    <row r="29" spans="1:4" x14ac:dyDescent="0.45">
      <c r="B29" t="s">
        <v>183</v>
      </c>
      <c r="C29" t="s">
        <v>176</v>
      </c>
      <c r="D29" s="46"/>
    </row>
    <row r="30" spans="1:4" ht="14.65" thickBot="1" x14ac:dyDescent="0.5">
      <c r="A30" s="40"/>
      <c r="B30" s="40" t="s">
        <v>181</v>
      </c>
      <c r="C30" s="40" t="s">
        <v>174</v>
      </c>
      <c r="D30" s="47"/>
    </row>
    <row r="31" spans="1:4" ht="14.65" thickTop="1" x14ac:dyDescent="0.45"/>
  </sheetData>
  <mergeCells count="6">
    <mergeCell ref="D24:D30"/>
    <mergeCell ref="A1:N1"/>
    <mergeCell ref="D4:D7"/>
    <mergeCell ref="D8:D13"/>
    <mergeCell ref="D14:D18"/>
    <mergeCell ref="D19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product_families</vt:lpstr>
      <vt:lpstr>products_types</vt:lpstr>
      <vt:lpstr>series</vt:lpstr>
      <vt:lpstr>front</vt:lpstr>
      <vt:lpstr>models</vt:lpstr>
      <vt:lpstr>additional</vt:lpstr>
      <vt:lpstr>windows</vt:lpstr>
      <vt:lpstr>ידיות</vt:lpstr>
      <vt:lpstr>תוספות פירזול</vt:lpstr>
      <vt:lpstr>material</vt:lpstr>
      <vt:lpstr>versions</vt:lpstr>
      <vt:lpstr>סימולציה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Gleb Omarov</cp:lastModifiedBy>
  <dcterms:created xsi:type="dcterms:W3CDTF">2025-12-31T12:56:32Z</dcterms:created>
  <dcterms:modified xsi:type="dcterms:W3CDTF">2026-01-10T16:13:57Z</dcterms:modified>
</cp:coreProperties>
</file>